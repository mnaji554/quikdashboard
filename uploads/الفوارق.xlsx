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F:\كويك\العمليات\تقارير العمليات\"/>
    </mc:Choice>
  </mc:AlternateContent>
  <xr:revisionPtr revIDLastSave="0" documentId="13_ncr:1_{745B4125-8ED4-40ED-89D2-6022AFDFCE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O16" i="1"/>
  <c r="P16" i="1" s="1"/>
  <c r="O14" i="1"/>
  <c r="P14" i="1" s="1"/>
  <c r="O15" i="1"/>
  <c r="P15" i="1" s="1"/>
  <c r="F30" i="1"/>
  <c r="G32" i="1"/>
  <c r="G31" i="1"/>
  <c r="G30" i="1"/>
  <c r="F32" i="1"/>
  <c r="H32" i="1" s="1"/>
  <c r="F31" i="1"/>
  <c r="H31" i="1" s="1"/>
  <c r="H24" i="1"/>
  <c r="H23" i="1"/>
  <c r="H22" i="1"/>
  <c r="G33" i="1" l="1"/>
  <c r="H25" i="1"/>
  <c r="F33" i="1"/>
  <c r="H30" i="1"/>
  <c r="H33" i="1" s="1"/>
</calcChain>
</file>

<file path=xl/sharedStrings.xml><?xml version="1.0" encoding="utf-8"?>
<sst xmlns="http://schemas.openxmlformats.org/spreadsheetml/2006/main" count="19" uniqueCount="14">
  <si>
    <t xml:space="preserve">بداية المخزون باللتر </t>
  </si>
  <si>
    <t>المبيعات (لتر)</t>
  </si>
  <si>
    <t>المبيعات (ريال)</t>
  </si>
  <si>
    <t>D</t>
  </si>
  <si>
    <t>المجموع</t>
  </si>
  <si>
    <t>البيع بالسعر الفعلي</t>
  </si>
  <si>
    <t>مبالغ البيع في الاوتوميشن</t>
  </si>
  <si>
    <t>فارق اللترات</t>
  </si>
  <si>
    <t>الفارق الفعلي</t>
  </si>
  <si>
    <t>فارق الخطأ (ريال)</t>
  </si>
  <si>
    <t>المستلم</t>
  </si>
  <si>
    <t>نهاية المخزون</t>
  </si>
  <si>
    <t>المبيعات لتر</t>
  </si>
  <si>
    <t>الفارق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</si>
</sst>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6"/>
      <color theme="1"/>
      <name val="Amiri"/>
    </font>
    <font>
      <b/>
      <sz val="18"/>
      <color theme="1"/>
      <name val="Amiri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  <xf numFmtId="0" fontId="2" fillId="0" borderId="1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0" borderId="16" xfId="0" applyFont="1" applyBorder="1" applyAlignment="1">
      <alignment horizontal="center" vertical="center" wrapText="1"/>
    </xf>
    <xf numFmtId="2" fontId="2" fillId="0" borderId="11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2" fontId="1" fillId="0" borderId="15" xfId="0" applyNumberFormat="1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wrapText="1"/>
    </xf>
    <xf numFmtId="1" fontId="1" fillId="0" borderId="14" xfId="0" applyNumberFormat="1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8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666750</xdr:colOff>
      <xdr:row>4</xdr:row>
      <xdr:rowOff>47625</xdr:rowOff>
    </xdr:from>
    <xdr:to>
      <xdr:col>5</xdr:col>
      <xdr:colOff>317762</xdr:colOff>
      <xdr:row>11</xdr:row>
      <xdr:rowOff>47231</xdr:rowOff>
    </xdr:to>
    <xdr:grpSp>
      <xdr:nvGrpSpPr>
        <xdr:cNvPr id="18" name="مجموعة 17">
          <a:extLst>
            <a:ext uri="{FF2B5EF4-FFF2-40B4-BE49-F238E27FC236}">
              <a16:creationId xmlns:a16="http://schemas.microsoft.com/office/drawing/2014/main" id="{C98A1F5C-CB4A-87A0-9142-1DCB77BB9FD7}"/>
            </a:ext>
          </a:extLst>
        </xdr:cNvPr>
        <xdr:cNvGrpSpPr/>
      </xdr:nvGrpSpPr>
      <xdr:grpSpPr>
        <a:xfrm>
          <a:off x="11237401063" y="771525"/>
          <a:ext cx="1346462" cy="1885556"/>
          <a:chOff x="11234629288" y="523875"/>
          <a:chExt cx="1365512" cy="1885556"/>
        </a:xfrm>
      </xdr:grpSpPr>
      <xdr:sp macro="" textlink="">
        <xdr:nvSpPr>
          <xdr:cNvPr id="6" name="Graphic 5">
            <a:extLst>
              <a:ext uri="{FF2B5EF4-FFF2-40B4-BE49-F238E27FC236}">
                <a16:creationId xmlns:a16="http://schemas.microsoft.com/office/drawing/2014/main" id="{2EC7294F-6AC1-AC68-D21A-05EDF9514D18}"/>
              </a:ext>
            </a:extLst>
          </xdr:cNvPr>
          <xdr:cNvSpPr/>
        </xdr:nvSpPr>
        <xdr:spPr>
          <a:xfrm>
            <a:off x="11234629288" y="523875"/>
            <a:ext cx="1365268" cy="1885556"/>
          </a:xfrm>
          <a:custGeom>
            <a:avLst/>
            <a:gdLst/>
            <a:ahLst/>
            <a:cxnLst/>
            <a:rect l="l" t="t" r="r" b="b"/>
            <a:pathLst>
              <a:path w="1544320" h="1671320">
                <a:moveTo>
                  <a:pt x="0" y="0"/>
                </a:moveTo>
                <a:lnTo>
                  <a:pt x="1543979" y="0"/>
                </a:lnTo>
                <a:lnTo>
                  <a:pt x="1543979" y="1670998"/>
                </a:lnTo>
                <a:lnTo>
                  <a:pt x="1531568" y="1650377"/>
                </a:lnTo>
                <a:lnTo>
                  <a:pt x="1512324" y="1618940"/>
                </a:lnTo>
                <a:lnTo>
                  <a:pt x="1471305" y="1553635"/>
                </a:lnTo>
                <a:lnTo>
                  <a:pt x="1449518" y="1519822"/>
                </a:lnTo>
                <a:lnTo>
                  <a:pt x="1426874" y="1485275"/>
                </a:lnTo>
                <a:lnTo>
                  <a:pt x="1403364" y="1450023"/>
                </a:lnTo>
                <a:lnTo>
                  <a:pt x="1378985" y="1414092"/>
                </a:lnTo>
                <a:lnTo>
                  <a:pt x="1353730" y="1377513"/>
                </a:lnTo>
                <a:lnTo>
                  <a:pt x="1327593" y="1340314"/>
                </a:lnTo>
                <a:lnTo>
                  <a:pt x="1300569" y="1302523"/>
                </a:lnTo>
                <a:lnTo>
                  <a:pt x="1272651" y="1264169"/>
                </a:lnTo>
                <a:lnTo>
                  <a:pt x="1243835" y="1225281"/>
                </a:lnTo>
                <a:lnTo>
                  <a:pt x="1214115" y="1185887"/>
                </a:lnTo>
                <a:lnTo>
                  <a:pt x="1183484" y="1146017"/>
                </a:lnTo>
                <a:lnTo>
                  <a:pt x="1151937" y="1105697"/>
                </a:lnTo>
                <a:lnTo>
                  <a:pt x="1119469" y="1064958"/>
                </a:lnTo>
                <a:lnTo>
                  <a:pt x="1086073" y="1023828"/>
                </a:lnTo>
                <a:lnTo>
                  <a:pt x="1051745" y="982335"/>
                </a:lnTo>
                <a:lnTo>
                  <a:pt x="1016477" y="940509"/>
                </a:lnTo>
                <a:lnTo>
                  <a:pt x="980265" y="898377"/>
                </a:lnTo>
                <a:lnTo>
                  <a:pt x="943102" y="855968"/>
                </a:lnTo>
                <a:lnTo>
                  <a:pt x="904983" y="813311"/>
                </a:lnTo>
                <a:lnTo>
                  <a:pt x="865903" y="770435"/>
                </a:lnTo>
                <a:lnTo>
                  <a:pt x="825855" y="727368"/>
                </a:lnTo>
                <a:lnTo>
                  <a:pt x="784834" y="684138"/>
                </a:lnTo>
                <a:lnTo>
                  <a:pt x="742834" y="640776"/>
                </a:lnTo>
                <a:lnTo>
                  <a:pt x="699850" y="597308"/>
                </a:lnTo>
                <a:lnTo>
                  <a:pt x="655875" y="553764"/>
                </a:lnTo>
                <a:lnTo>
                  <a:pt x="610904" y="510172"/>
                </a:lnTo>
                <a:lnTo>
                  <a:pt x="564931" y="466561"/>
                </a:lnTo>
                <a:lnTo>
                  <a:pt x="517951" y="422960"/>
                </a:lnTo>
                <a:lnTo>
                  <a:pt x="469957" y="379396"/>
                </a:lnTo>
                <a:lnTo>
                  <a:pt x="420945" y="335900"/>
                </a:lnTo>
                <a:lnTo>
                  <a:pt x="370907" y="292499"/>
                </a:lnTo>
                <a:lnTo>
                  <a:pt x="319840" y="249222"/>
                </a:lnTo>
                <a:lnTo>
                  <a:pt x="267736" y="206098"/>
                </a:lnTo>
                <a:lnTo>
                  <a:pt x="214590" y="163155"/>
                </a:lnTo>
                <a:lnTo>
                  <a:pt x="160396" y="120421"/>
                </a:lnTo>
                <a:lnTo>
                  <a:pt x="105150" y="77927"/>
                </a:lnTo>
                <a:lnTo>
                  <a:pt x="48844" y="35699"/>
                </a:lnTo>
                <a:lnTo>
                  <a:pt x="0" y="0"/>
                </a:lnTo>
                <a:close/>
              </a:path>
            </a:pathLst>
          </a:custGeom>
          <a:solidFill>
            <a:srgbClr val="F07828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ar-SA"/>
          </a:p>
        </xdr:txBody>
      </xdr:sp>
      <xdr:sp macro="" textlink="">
        <xdr:nvSpPr>
          <xdr:cNvPr id="7" name="Graphic 6">
            <a:extLst>
              <a:ext uri="{FF2B5EF4-FFF2-40B4-BE49-F238E27FC236}">
                <a16:creationId xmlns:a16="http://schemas.microsoft.com/office/drawing/2014/main" id="{ECC0A1C0-676D-CFA6-25AE-3E62304A29B3}"/>
              </a:ext>
            </a:extLst>
          </xdr:cNvPr>
          <xdr:cNvSpPr/>
        </xdr:nvSpPr>
        <xdr:spPr>
          <a:xfrm>
            <a:off x="11234766133" y="523875"/>
            <a:ext cx="1228292" cy="1544551"/>
          </a:xfrm>
          <a:custGeom>
            <a:avLst/>
            <a:gdLst/>
            <a:ahLst/>
            <a:cxnLst/>
            <a:rect l="l" t="t" r="r" b="b"/>
            <a:pathLst>
              <a:path w="1389380" h="1369060">
                <a:moveTo>
                  <a:pt x="0" y="0"/>
                </a:moveTo>
                <a:lnTo>
                  <a:pt x="1389187" y="0"/>
                </a:lnTo>
                <a:lnTo>
                  <a:pt x="1389187" y="1368431"/>
                </a:lnTo>
                <a:lnTo>
                  <a:pt x="1375790" y="1350084"/>
                </a:lnTo>
                <a:lnTo>
                  <a:pt x="1351658" y="1317505"/>
                </a:lnTo>
                <a:lnTo>
                  <a:pt x="1326791" y="1284414"/>
                </a:lnTo>
                <a:lnTo>
                  <a:pt x="1301190" y="1250835"/>
                </a:lnTo>
                <a:lnTo>
                  <a:pt x="1274853" y="1216793"/>
                </a:lnTo>
                <a:lnTo>
                  <a:pt x="1247780" y="1182312"/>
                </a:lnTo>
                <a:lnTo>
                  <a:pt x="1219971" y="1147417"/>
                </a:lnTo>
                <a:lnTo>
                  <a:pt x="1191425" y="1112132"/>
                </a:lnTo>
                <a:lnTo>
                  <a:pt x="1162141" y="1076481"/>
                </a:lnTo>
                <a:lnTo>
                  <a:pt x="1132119" y="1040489"/>
                </a:lnTo>
                <a:lnTo>
                  <a:pt x="1101359" y="1004180"/>
                </a:lnTo>
                <a:lnTo>
                  <a:pt x="1069859" y="967579"/>
                </a:lnTo>
                <a:lnTo>
                  <a:pt x="1037619" y="930710"/>
                </a:lnTo>
                <a:lnTo>
                  <a:pt x="1004640" y="893597"/>
                </a:lnTo>
                <a:lnTo>
                  <a:pt x="970920" y="856265"/>
                </a:lnTo>
                <a:lnTo>
                  <a:pt x="936458" y="818739"/>
                </a:lnTo>
                <a:lnTo>
                  <a:pt x="901254" y="781042"/>
                </a:lnTo>
                <a:lnTo>
                  <a:pt x="865309" y="743199"/>
                </a:lnTo>
                <a:lnTo>
                  <a:pt x="828620" y="705235"/>
                </a:lnTo>
                <a:lnTo>
                  <a:pt x="791188" y="667173"/>
                </a:lnTo>
                <a:lnTo>
                  <a:pt x="753012" y="629039"/>
                </a:lnTo>
                <a:lnTo>
                  <a:pt x="714092" y="590857"/>
                </a:lnTo>
                <a:lnTo>
                  <a:pt x="674426" y="552651"/>
                </a:lnTo>
                <a:lnTo>
                  <a:pt x="634015" y="514445"/>
                </a:lnTo>
                <a:lnTo>
                  <a:pt x="592858" y="476264"/>
                </a:lnTo>
                <a:lnTo>
                  <a:pt x="550955" y="438133"/>
                </a:lnTo>
                <a:lnTo>
                  <a:pt x="508304" y="400075"/>
                </a:lnTo>
                <a:lnTo>
                  <a:pt x="464906" y="362115"/>
                </a:lnTo>
                <a:lnTo>
                  <a:pt x="420760" y="324278"/>
                </a:lnTo>
                <a:lnTo>
                  <a:pt x="375864" y="286588"/>
                </a:lnTo>
                <a:lnTo>
                  <a:pt x="330220" y="249070"/>
                </a:lnTo>
                <a:lnTo>
                  <a:pt x="283826" y="211747"/>
                </a:lnTo>
                <a:lnTo>
                  <a:pt x="236681" y="174644"/>
                </a:lnTo>
                <a:lnTo>
                  <a:pt x="188786" y="137786"/>
                </a:lnTo>
                <a:lnTo>
                  <a:pt x="140140" y="101197"/>
                </a:lnTo>
                <a:lnTo>
                  <a:pt x="90741" y="64902"/>
                </a:lnTo>
                <a:lnTo>
                  <a:pt x="40590" y="28924"/>
                </a:lnTo>
                <a:lnTo>
                  <a:pt x="33559" y="21893"/>
                </a:lnTo>
                <a:lnTo>
                  <a:pt x="7191" y="4974"/>
                </a:lnTo>
                <a:lnTo>
                  <a:pt x="0" y="0"/>
                </a:lnTo>
                <a:close/>
              </a:path>
            </a:pathLst>
          </a:custGeom>
          <a:solidFill>
            <a:srgbClr val="FAB41B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ar-SA"/>
          </a:p>
        </xdr:txBody>
      </xdr:sp>
      <xdr:sp macro="" textlink="">
        <xdr:nvSpPr>
          <xdr:cNvPr id="8" name="Graphic 7">
            <a:extLst>
              <a:ext uri="{FF2B5EF4-FFF2-40B4-BE49-F238E27FC236}">
                <a16:creationId xmlns:a16="http://schemas.microsoft.com/office/drawing/2014/main" id="{F2BFFFD8-3808-1BFE-6475-7FEAB29E4EA7}"/>
              </a:ext>
            </a:extLst>
          </xdr:cNvPr>
          <xdr:cNvSpPr/>
        </xdr:nvSpPr>
        <xdr:spPr>
          <a:xfrm>
            <a:off x="11234860820" y="523875"/>
            <a:ext cx="1133980" cy="1300976"/>
          </a:xfrm>
          <a:custGeom>
            <a:avLst/>
            <a:gdLst/>
            <a:ahLst/>
            <a:cxnLst/>
            <a:rect l="l" t="t" r="r" b="b"/>
            <a:pathLst>
              <a:path w="1282700" h="1153160">
                <a:moveTo>
                  <a:pt x="0" y="0"/>
                </a:moveTo>
                <a:lnTo>
                  <a:pt x="1282082" y="0"/>
                </a:lnTo>
                <a:lnTo>
                  <a:pt x="1282082" y="1152951"/>
                </a:lnTo>
                <a:lnTo>
                  <a:pt x="1268627" y="1135162"/>
                </a:lnTo>
                <a:lnTo>
                  <a:pt x="1243395" y="1102517"/>
                </a:lnTo>
                <a:lnTo>
                  <a:pt x="1217124" y="1069254"/>
                </a:lnTo>
                <a:lnTo>
                  <a:pt x="1189801" y="1035404"/>
                </a:lnTo>
                <a:lnTo>
                  <a:pt x="1161414" y="1000998"/>
                </a:lnTo>
                <a:lnTo>
                  <a:pt x="1131952" y="966066"/>
                </a:lnTo>
                <a:lnTo>
                  <a:pt x="1101403" y="930640"/>
                </a:lnTo>
                <a:lnTo>
                  <a:pt x="1069757" y="894750"/>
                </a:lnTo>
                <a:lnTo>
                  <a:pt x="1037000" y="858428"/>
                </a:lnTo>
                <a:lnTo>
                  <a:pt x="1003122" y="821704"/>
                </a:lnTo>
                <a:lnTo>
                  <a:pt x="968112" y="784610"/>
                </a:lnTo>
                <a:lnTo>
                  <a:pt x="931956" y="747175"/>
                </a:lnTo>
                <a:lnTo>
                  <a:pt x="894645" y="709432"/>
                </a:lnTo>
                <a:lnTo>
                  <a:pt x="856165" y="671410"/>
                </a:lnTo>
                <a:lnTo>
                  <a:pt x="816507" y="633141"/>
                </a:lnTo>
                <a:lnTo>
                  <a:pt x="775657" y="594656"/>
                </a:lnTo>
                <a:lnTo>
                  <a:pt x="733605" y="555986"/>
                </a:lnTo>
                <a:lnTo>
                  <a:pt x="690339" y="517161"/>
                </a:lnTo>
                <a:lnTo>
                  <a:pt x="645847" y="478212"/>
                </a:lnTo>
                <a:lnTo>
                  <a:pt x="600118" y="439171"/>
                </a:lnTo>
                <a:lnTo>
                  <a:pt x="553140" y="400068"/>
                </a:lnTo>
                <a:lnTo>
                  <a:pt x="504902" y="360934"/>
                </a:lnTo>
                <a:lnTo>
                  <a:pt x="455392" y="321800"/>
                </a:lnTo>
                <a:lnTo>
                  <a:pt x="404598" y="282697"/>
                </a:lnTo>
                <a:lnTo>
                  <a:pt x="352509" y="243656"/>
                </a:lnTo>
                <a:lnTo>
                  <a:pt x="299113" y="204707"/>
                </a:lnTo>
                <a:lnTo>
                  <a:pt x="88173" y="57049"/>
                </a:lnTo>
                <a:lnTo>
                  <a:pt x="45432" y="28957"/>
                </a:lnTo>
                <a:lnTo>
                  <a:pt x="1714" y="1059"/>
                </a:lnTo>
                <a:lnTo>
                  <a:pt x="0" y="0"/>
                </a:lnTo>
                <a:close/>
              </a:path>
            </a:pathLst>
          </a:custGeom>
          <a:solidFill>
            <a:srgbClr val="F07828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ar-SA"/>
          </a:p>
        </xdr:txBody>
      </xdr:sp>
    </xdr:grpSp>
    <xdr:clientData/>
  </xdr:twoCellAnchor>
  <xdr:twoCellAnchor>
    <xdr:from>
      <xdr:col>6</xdr:col>
      <xdr:colOff>971549</xdr:colOff>
      <xdr:row>30</xdr:row>
      <xdr:rowOff>123825</xdr:rowOff>
    </xdr:from>
    <xdr:to>
      <xdr:col>8</xdr:col>
      <xdr:colOff>1085248</xdr:colOff>
      <xdr:row>37</xdr:row>
      <xdr:rowOff>142875</xdr:rowOff>
    </xdr:to>
    <xdr:grpSp>
      <xdr:nvGrpSpPr>
        <xdr:cNvPr id="3" name="مجموعة 2">
          <a:extLst>
            <a:ext uri="{FF2B5EF4-FFF2-40B4-BE49-F238E27FC236}">
              <a16:creationId xmlns:a16="http://schemas.microsoft.com/office/drawing/2014/main" id="{55D4C9B7-E580-D4BA-0644-30884B860F61}"/>
            </a:ext>
          </a:extLst>
        </xdr:cNvPr>
        <xdr:cNvGrpSpPr/>
      </xdr:nvGrpSpPr>
      <xdr:grpSpPr>
        <a:xfrm>
          <a:off x="11231385302" y="9315450"/>
          <a:ext cx="4028474" cy="2324100"/>
          <a:chOff x="11229337426" y="9576842"/>
          <a:chExt cx="4209369" cy="2548483"/>
        </a:xfrm>
      </xdr:grpSpPr>
      <xdr:sp macro="" textlink="">
        <xdr:nvSpPr>
          <xdr:cNvPr id="10" name="Graphic 12">
            <a:extLst>
              <a:ext uri="{FF2B5EF4-FFF2-40B4-BE49-F238E27FC236}">
                <a16:creationId xmlns:a16="http://schemas.microsoft.com/office/drawing/2014/main" id="{4E44D599-8346-B478-8693-2492FDE1A8D4}"/>
              </a:ext>
            </a:extLst>
          </xdr:cNvPr>
          <xdr:cNvSpPr/>
        </xdr:nvSpPr>
        <xdr:spPr>
          <a:xfrm>
            <a:off x="11229337426" y="9576842"/>
            <a:ext cx="3659643" cy="2548483"/>
          </a:xfrm>
          <a:custGeom>
            <a:avLst/>
            <a:gdLst/>
            <a:ahLst/>
            <a:cxnLst/>
            <a:rect l="l" t="t" r="r" b="b"/>
            <a:pathLst>
              <a:path w="5425440" h="4277360">
                <a:moveTo>
                  <a:pt x="5424919" y="4276966"/>
                </a:moveTo>
                <a:lnTo>
                  <a:pt x="5373205" y="4259402"/>
                </a:lnTo>
                <a:lnTo>
                  <a:pt x="5219357" y="4205617"/>
                </a:lnTo>
                <a:lnTo>
                  <a:pt x="5126761" y="4171632"/>
                </a:lnTo>
                <a:lnTo>
                  <a:pt x="5090439" y="4157053"/>
                </a:lnTo>
                <a:lnTo>
                  <a:pt x="4946396" y="4096740"/>
                </a:lnTo>
                <a:lnTo>
                  <a:pt x="4804016" y="4034599"/>
                </a:lnTo>
                <a:lnTo>
                  <a:pt x="4663351" y="3970705"/>
                </a:lnTo>
                <a:lnTo>
                  <a:pt x="4524413" y="3905135"/>
                </a:lnTo>
                <a:lnTo>
                  <a:pt x="4387266" y="3837952"/>
                </a:lnTo>
                <a:lnTo>
                  <a:pt x="4251922" y="3769220"/>
                </a:lnTo>
                <a:lnTo>
                  <a:pt x="4118432" y="3699014"/>
                </a:lnTo>
                <a:lnTo>
                  <a:pt x="3986822" y="3627412"/>
                </a:lnTo>
                <a:lnTo>
                  <a:pt x="3857129" y="3554463"/>
                </a:lnTo>
                <a:lnTo>
                  <a:pt x="3729380" y="3480270"/>
                </a:lnTo>
                <a:lnTo>
                  <a:pt x="3603625" y="3404870"/>
                </a:lnTo>
                <a:lnTo>
                  <a:pt x="3479901" y="3328352"/>
                </a:lnTo>
                <a:lnTo>
                  <a:pt x="3358223" y="3250793"/>
                </a:lnTo>
                <a:lnTo>
                  <a:pt x="3238639" y="3172244"/>
                </a:lnTo>
                <a:lnTo>
                  <a:pt x="3192983" y="3143262"/>
                </a:lnTo>
                <a:lnTo>
                  <a:pt x="3147326" y="3112097"/>
                </a:lnTo>
                <a:lnTo>
                  <a:pt x="3101670" y="3080207"/>
                </a:lnTo>
                <a:lnTo>
                  <a:pt x="3056026" y="3049041"/>
                </a:lnTo>
                <a:lnTo>
                  <a:pt x="3010370" y="3020060"/>
                </a:lnTo>
                <a:lnTo>
                  <a:pt x="2995142" y="3004845"/>
                </a:lnTo>
                <a:lnTo>
                  <a:pt x="2893631" y="2932074"/>
                </a:lnTo>
                <a:lnTo>
                  <a:pt x="2793542" y="2858706"/>
                </a:lnTo>
                <a:lnTo>
                  <a:pt x="2694876" y="2784767"/>
                </a:lnTo>
                <a:lnTo>
                  <a:pt x="2597632" y="2710319"/>
                </a:lnTo>
                <a:lnTo>
                  <a:pt x="2501798" y="2635389"/>
                </a:lnTo>
                <a:lnTo>
                  <a:pt x="2407386" y="2560040"/>
                </a:lnTo>
                <a:lnTo>
                  <a:pt x="2314397" y="2484297"/>
                </a:lnTo>
                <a:lnTo>
                  <a:pt x="2222830" y="2408199"/>
                </a:lnTo>
                <a:lnTo>
                  <a:pt x="2132673" y="2331809"/>
                </a:lnTo>
                <a:lnTo>
                  <a:pt x="2043938" y="2255151"/>
                </a:lnTo>
                <a:lnTo>
                  <a:pt x="1956612" y="2178291"/>
                </a:lnTo>
                <a:lnTo>
                  <a:pt x="1870697" y="2101253"/>
                </a:lnTo>
                <a:lnTo>
                  <a:pt x="1786191" y="2024087"/>
                </a:lnTo>
                <a:lnTo>
                  <a:pt x="1703108" y="1946821"/>
                </a:lnTo>
                <a:lnTo>
                  <a:pt x="1621434" y="1869528"/>
                </a:lnTo>
                <a:lnTo>
                  <a:pt x="1541170" y="1792224"/>
                </a:lnTo>
                <a:lnTo>
                  <a:pt x="1462303" y="1714969"/>
                </a:lnTo>
                <a:lnTo>
                  <a:pt x="1384858" y="1637804"/>
                </a:lnTo>
                <a:lnTo>
                  <a:pt x="1308811" y="1560766"/>
                </a:lnTo>
                <a:lnTo>
                  <a:pt x="1234186" y="1483893"/>
                </a:lnTo>
                <a:lnTo>
                  <a:pt x="1160945" y="1407248"/>
                </a:lnTo>
                <a:lnTo>
                  <a:pt x="1089126" y="1330858"/>
                </a:lnTo>
                <a:lnTo>
                  <a:pt x="1018705" y="1254760"/>
                </a:lnTo>
                <a:lnTo>
                  <a:pt x="949680" y="1179017"/>
                </a:lnTo>
                <a:lnTo>
                  <a:pt x="882053" y="1103655"/>
                </a:lnTo>
                <a:lnTo>
                  <a:pt x="815835" y="1028738"/>
                </a:lnTo>
                <a:lnTo>
                  <a:pt x="751014" y="954290"/>
                </a:lnTo>
                <a:lnTo>
                  <a:pt x="687603" y="880351"/>
                </a:lnTo>
                <a:lnTo>
                  <a:pt x="625576" y="806983"/>
                </a:lnTo>
                <a:lnTo>
                  <a:pt x="564946" y="734212"/>
                </a:lnTo>
                <a:lnTo>
                  <a:pt x="505726" y="662089"/>
                </a:lnTo>
                <a:lnTo>
                  <a:pt x="447890" y="590664"/>
                </a:lnTo>
                <a:lnTo>
                  <a:pt x="391439" y="519963"/>
                </a:lnTo>
                <a:lnTo>
                  <a:pt x="336397" y="450049"/>
                </a:lnTo>
                <a:lnTo>
                  <a:pt x="282740" y="380949"/>
                </a:lnTo>
                <a:lnTo>
                  <a:pt x="230479" y="312712"/>
                </a:lnTo>
                <a:lnTo>
                  <a:pt x="179603" y="245376"/>
                </a:lnTo>
                <a:lnTo>
                  <a:pt x="130111" y="178993"/>
                </a:lnTo>
                <a:lnTo>
                  <a:pt x="82016" y="113614"/>
                </a:lnTo>
                <a:lnTo>
                  <a:pt x="35306" y="49250"/>
                </a:lnTo>
                <a:lnTo>
                  <a:pt x="0" y="0"/>
                </a:lnTo>
                <a:lnTo>
                  <a:pt x="0" y="469544"/>
                </a:lnTo>
                <a:lnTo>
                  <a:pt x="0" y="4276966"/>
                </a:lnTo>
                <a:lnTo>
                  <a:pt x="5396966" y="4276966"/>
                </a:lnTo>
                <a:lnTo>
                  <a:pt x="5424919" y="4276966"/>
                </a:lnTo>
                <a:close/>
              </a:path>
            </a:pathLst>
          </a:custGeom>
          <a:solidFill>
            <a:srgbClr val="FAB41B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ar-SA"/>
          </a:p>
        </xdr:txBody>
      </xdr:sp>
      <xdr:sp macro="" textlink="">
        <xdr:nvSpPr>
          <xdr:cNvPr id="11" name="Graphic 13">
            <a:extLst>
              <a:ext uri="{FF2B5EF4-FFF2-40B4-BE49-F238E27FC236}">
                <a16:creationId xmlns:a16="http://schemas.microsoft.com/office/drawing/2014/main" id="{FCDCBD54-D03A-33C9-8919-E6AF9D5DE5CD}"/>
              </a:ext>
            </a:extLst>
          </xdr:cNvPr>
          <xdr:cNvSpPr/>
        </xdr:nvSpPr>
        <xdr:spPr>
          <a:xfrm>
            <a:off x="11229347565" y="10556303"/>
            <a:ext cx="4199230" cy="1568794"/>
          </a:xfrm>
          <a:custGeom>
            <a:avLst/>
            <a:gdLst/>
            <a:ahLst/>
            <a:cxnLst/>
            <a:rect l="l" t="t" r="r" b="b"/>
            <a:pathLst>
              <a:path w="4491990" h="1395730">
                <a:moveTo>
                  <a:pt x="4491988" y="1395538"/>
                </a:moveTo>
                <a:lnTo>
                  <a:pt x="0" y="1395538"/>
                </a:lnTo>
                <a:lnTo>
                  <a:pt x="0" y="0"/>
                </a:lnTo>
                <a:lnTo>
                  <a:pt x="55489" y="31684"/>
                </a:lnTo>
                <a:lnTo>
                  <a:pt x="142764" y="80172"/>
                </a:lnTo>
                <a:lnTo>
                  <a:pt x="230905" y="127620"/>
                </a:lnTo>
                <a:lnTo>
                  <a:pt x="319863" y="174034"/>
                </a:lnTo>
                <a:lnTo>
                  <a:pt x="409588" y="219420"/>
                </a:lnTo>
                <a:lnTo>
                  <a:pt x="500030" y="263785"/>
                </a:lnTo>
                <a:lnTo>
                  <a:pt x="591139" y="307135"/>
                </a:lnTo>
                <a:lnTo>
                  <a:pt x="682866" y="349476"/>
                </a:lnTo>
                <a:lnTo>
                  <a:pt x="821507" y="411109"/>
                </a:lnTo>
                <a:lnTo>
                  <a:pt x="961257" y="470507"/>
                </a:lnTo>
                <a:lnTo>
                  <a:pt x="1101951" y="527691"/>
                </a:lnTo>
                <a:lnTo>
                  <a:pt x="1243421" y="582681"/>
                </a:lnTo>
                <a:lnTo>
                  <a:pt x="1385498" y="635499"/>
                </a:lnTo>
                <a:lnTo>
                  <a:pt x="1528015" y="686166"/>
                </a:lnTo>
                <a:lnTo>
                  <a:pt x="1670804" y="734702"/>
                </a:lnTo>
                <a:lnTo>
                  <a:pt x="1861324" y="796140"/>
                </a:lnTo>
                <a:lnTo>
                  <a:pt x="2298651" y="927848"/>
                </a:lnTo>
                <a:lnTo>
                  <a:pt x="2544019" y="997031"/>
                </a:lnTo>
                <a:lnTo>
                  <a:pt x="2738014" y="1048374"/>
                </a:lnTo>
                <a:lnTo>
                  <a:pt x="2929050" y="1095702"/>
                </a:lnTo>
                <a:lnTo>
                  <a:pt x="3116282" y="1138590"/>
                </a:lnTo>
                <a:lnTo>
                  <a:pt x="3496863" y="1219821"/>
                </a:lnTo>
                <a:lnTo>
                  <a:pt x="3829451" y="1284630"/>
                </a:lnTo>
                <a:lnTo>
                  <a:pt x="4196121" y="1348871"/>
                </a:lnTo>
                <a:lnTo>
                  <a:pt x="4491988" y="1395538"/>
                </a:lnTo>
                <a:close/>
              </a:path>
            </a:pathLst>
          </a:custGeom>
          <a:solidFill>
            <a:srgbClr val="F07828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ar-SA"/>
          </a:p>
        </xdr:txBody>
      </xdr:sp>
    </xdr:grpSp>
    <xdr:clientData/>
  </xdr:twoCellAnchor>
  <xdr:twoCellAnchor>
    <xdr:from>
      <xdr:col>7</xdr:col>
      <xdr:colOff>1295400</xdr:colOff>
      <xdr:row>4</xdr:row>
      <xdr:rowOff>233095</xdr:rowOff>
    </xdr:from>
    <xdr:to>
      <xdr:col>8</xdr:col>
      <xdr:colOff>974143</xdr:colOff>
      <xdr:row>10</xdr:row>
      <xdr:rowOff>173287</xdr:rowOff>
    </xdr:to>
    <xdr:pic>
      <xdr:nvPicPr>
        <xdr:cNvPr id="12" name="Image 14">
          <a:extLst>
            <a:ext uri="{FF2B5EF4-FFF2-40B4-BE49-F238E27FC236}">
              <a16:creationId xmlns:a16="http://schemas.microsoft.com/office/drawing/2014/main" id="{F5DBD8C7-7FD4-3EAD-74B3-B1386B45927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9419957" y="956995"/>
          <a:ext cx="1383718" cy="1645167"/>
        </a:xfrm>
        <a:prstGeom prst="rect">
          <a:avLst/>
        </a:prstGeom>
      </xdr:spPr>
    </xdr:pic>
    <xdr:clientData/>
  </xdr:twoCellAnchor>
  <xdr:twoCellAnchor>
    <xdr:from>
      <xdr:col>2</xdr:col>
      <xdr:colOff>161925</xdr:colOff>
      <xdr:row>7</xdr:row>
      <xdr:rowOff>38100</xdr:rowOff>
    </xdr:from>
    <xdr:to>
      <xdr:col>5</xdr:col>
      <xdr:colOff>838200</xdr:colOff>
      <xdr:row>10</xdr:row>
      <xdr:rowOff>38100</xdr:rowOff>
    </xdr:to>
    <xdr:sp macro="" textlink="">
      <xdr:nvSpPr>
        <xdr:cNvPr id="13" name="مربع نص 1">
          <a:extLst>
            <a:ext uri="{FF2B5EF4-FFF2-40B4-BE49-F238E27FC236}">
              <a16:creationId xmlns:a16="http://schemas.microsoft.com/office/drawing/2014/main" id="{AFA6BE08-DD5D-2BD0-4123-61419D743956}"/>
            </a:ext>
          </a:extLst>
        </xdr:cNvPr>
        <xdr:cNvSpPr txBox="1"/>
      </xdr:nvSpPr>
      <xdr:spPr>
        <a:xfrm>
          <a:off x="11234575575" y="1924050"/>
          <a:ext cx="1704975" cy="542925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1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ar-SA" sz="2000">
              <a:effectLst/>
              <a:latin typeface="Calibri" panose="020F0502020204030204" pitchFamily="34" charset="0"/>
              <a:ea typeface="Calibri" panose="020F0502020204030204" pitchFamily="34" charset="0"/>
              <a:cs typeface="Amiri" panose="00000500000000000000" pitchFamily="2" charset="-78"/>
            </a:rPr>
            <a:t>إدارة المبيعات</a:t>
          </a:r>
          <a:endParaRPr lang="en-US" sz="12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95250</xdr:colOff>
      <xdr:row>9</xdr:row>
      <xdr:rowOff>57150</xdr:rowOff>
    </xdr:from>
    <xdr:to>
      <xdr:col>5</xdr:col>
      <xdr:colOff>790575</xdr:colOff>
      <xdr:row>11</xdr:row>
      <xdr:rowOff>47625</xdr:rowOff>
    </xdr:to>
    <xdr:sp macro="" textlink="">
      <xdr:nvSpPr>
        <xdr:cNvPr id="14" name="مربع نص 1">
          <a:extLst>
            <a:ext uri="{FF2B5EF4-FFF2-40B4-BE49-F238E27FC236}">
              <a16:creationId xmlns:a16="http://schemas.microsoft.com/office/drawing/2014/main" id="{7610326E-F085-16B0-254D-D8191BE74A08}"/>
            </a:ext>
          </a:extLst>
        </xdr:cNvPr>
        <xdr:cNvSpPr txBox="1"/>
      </xdr:nvSpPr>
      <xdr:spPr>
        <a:xfrm>
          <a:off x="11234623200" y="2305050"/>
          <a:ext cx="1724025" cy="352425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1" fromWordArt="0" anchor="t" anchorCtr="0" forceAA="0" compatLnSpc="1">
          <a:prstTxWarp prst="textNoShape">
            <a:avLst/>
          </a:prstTxWarp>
          <a:noAutofit/>
        </a:bodyPr>
        <a:lstStyle/>
        <a:p>
          <a:pPr algn="ctr" rtl="0"/>
          <a:r>
            <a:rPr lang="en-US" sz="1800" b="1">
              <a:effectLst/>
              <a:latin typeface="Calibri" panose="020F0502020204030204" pitchFamily="34" charset="0"/>
              <a:ea typeface="Calibri" panose="020F0502020204030204" pitchFamily="34" charset="0"/>
              <a:cs typeface="Amiri" panose="00000500000000000000" pitchFamily="2" charset="-78"/>
            </a:rPr>
            <a:t>26-0</a:t>
          </a:r>
          <a:r>
            <a:rPr lang="ar-SA" sz="1800" b="1">
              <a:effectLst/>
              <a:latin typeface="Calibri" panose="020F0502020204030204" pitchFamily="34" charset="0"/>
              <a:ea typeface="Calibri" panose="020F0502020204030204" pitchFamily="34" charset="0"/>
              <a:cs typeface="Amiri" panose="00000500000000000000" pitchFamily="2" charset="-78"/>
            </a:rPr>
            <a:t>6</a:t>
          </a:r>
          <a:r>
            <a:rPr lang="en-US" sz="1800" b="1">
              <a:effectLst/>
              <a:latin typeface="Calibri" panose="020F0502020204030204" pitchFamily="34" charset="0"/>
              <a:ea typeface="Calibri" panose="020F0502020204030204" pitchFamily="34" charset="0"/>
              <a:cs typeface="Amiri" panose="00000500000000000000" pitchFamily="2" charset="-78"/>
            </a:rPr>
            <a:t>-2024</a:t>
          </a:r>
          <a:endParaRPr lang="en-US" sz="12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390525</xdr:colOff>
      <xdr:row>4</xdr:row>
      <xdr:rowOff>485775</xdr:rowOff>
    </xdr:from>
    <xdr:to>
      <xdr:col>7</xdr:col>
      <xdr:colOff>926465</xdr:colOff>
      <xdr:row>6</xdr:row>
      <xdr:rowOff>57150</xdr:rowOff>
    </xdr:to>
    <xdr:sp macro="" textlink="">
      <xdr:nvSpPr>
        <xdr:cNvPr id="15" name="مربع نص 1">
          <a:extLst>
            <a:ext uri="{FF2B5EF4-FFF2-40B4-BE49-F238E27FC236}">
              <a16:creationId xmlns:a16="http://schemas.microsoft.com/office/drawing/2014/main" id="{84D2AAAB-5B63-F310-10E0-6EDC88B40731}"/>
            </a:ext>
          </a:extLst>
        </xdr:cNvPr>
        <xdr:cNvSpPr txBox="1"/>
      </xdr:nvSpPr>
      <xdr:spPr>
        <a:xfrm>
          <a:off x="11231172610" y="1209675"/>
          <a:ext cx="3850640" cy="55245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1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ar-SA" sz="2800" b="1">
              <a:effectLst/>
              <a:latin typeface="Calibri" panose="020F0502020204030204" pitchFamily="34" charset="0"/>
              <a:ea typeface="Calibri" panose="020F0502020204030204" pitchFamily="34" charset="0"/>
              <a:cs typeface="Amiri" panose="00000500000000000000" pitchFamily="2" charset="-78"/>
            </a:rPr>
            <a:t>تقرير</a:t>
          </a:r>
          <a:r>
            <a:rPr lang="ar-SA" sz="2800">
              <a:effectLst/>
              <a:latin typeface="Calibri" panose="020F0502020204030204" pitchFamily="34" charset="0"/>
              <a:ea typeface="Calibri" panose="020F0502020204030204" pitchFamily="34" charset="0"/>
              <a:cs typeface="Amiri" panose="00000500000000000000" pitchFamily="2" charset="-78"/>
            </a:rPr>
            <a:t> مبيعات محطة أبها</a:t>
          </a:r>
          <a:endParaRPr lang="en-US" sz="14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361950</xdr:colOff>
      <xdr:row>7</xdr:row>
      <xdr:rowOff>0</xdr:rowOff>
    </xdr:from>
    <xdr:to>
      <xdr:col>7</xdr:col>
      <xdr:colOff>859790</xdr:colOff>
      <xdr:row>10</xdr:row>
      <xdr:rowOff>9525</xdr:rowOff>
    </xdr:to>
    <xdr:sp macro="" textlink="">
      <xdr:nvSpPr>
        <xdr:cNvPr id="16" name="مربع نص 1">
          <a:extLst>
            <a:ext uri="{FF2B5EF4-FFF2-40B4-BE49-F238E27FC236}">
              <a16:creationId xmlns:a16="http://schemas.microsoft.com/office/drawing/2014/main" id="{8F53AC26-07E1-0599-8E07-1379994B6ABD}"/>
            </a:ext>
          </a:extLst>
        </xdr:cNvPr>
        <xdr:cNvSpPr txBox="1"/>
      </xdr:nvSpPr>
      <xdr:spPr>
        <a:xfrm>
          <a:off x="11231239285" y="1885950"/>
          <a:ext cx="3812540" cy="55245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1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ar-SA" sz="2200" b="1">
              <a:effectLst/>
              <a:latin typeface="Calibri" panose="020F0502020204030204" pitchFamily="34" charset="0"/>
              <a:ea typeface="Calibri" panose="020F0502020204030204" pitchFamily="34" charset="0"/>
              <a:cs typeface="Amiri" panose="00000500000000000000" pitchFamily="2" charset="-78"/>
            </a:rPr>
            <a:t>تقرير </a:t>
          </a:r>
          <a:r>
            <a:rPr lang="ar-SA" sz="2800" b="1">
              <a:effectLst/>
              <a:latin typeface="Calibri" panose="020F0502020204030204" pitchFamily="34" charset="0"/>
              <a:ea typeface="Calibri" panose="020F0502020204030204" pitchFamily="34" charset="0"/>
              <a:cs typeface="Amiri" panose="00000500000000000000" pitchFamily="2" charset="-78"/>
            </a:rPr>
            <a:t>مبيعات</a:t>
          </a:r>
          <a:r>
            <a:rPr lang="ar-SA" sz="2200" b="1">
              <a:effectLst/>
              <a:latin typeface="Calibri" panose="020F0502020204030204" pitchFamily="34" charset="0"/>
              <a:ea typeface="Calibri" panose="020F0502020204030204" pitchFamily="34" charset="0"/>
              <a:cs typeface="Amiri" panose="00000500000000000000" pitchFamily="2" charset="-78"/>
            </a:rPr>
            <a:t> محطة (منوال)</a:t>
          </a:r>
          <a:endParaRPr lang="en-US" sz="1100" b="1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476250</xdr:colOff>
      <xdr:row>16</xdr:row>
      <xdr:rowOff>371475</xdr:rowOff>
    </xdr:from>
    <xdr:to>
      <xdr:col>7</xdr:col>
      <xdr:colOff>545465</xdr:colOff>
      <xdr:row>20</xdr:row>
      <xdr:rowOff>200025</xdr:rowOff>
    </xdr:to>
    <xdr:sp macro="" textlink="">
      <xdr:nvSpPr>
        <xdr:cNvPr id="2" name="مربع نص 1">
          <a:extLst>
            <a:ext uri="{FF2B5EF4-FFF2-40B4-BE49-F238E27FC236}">
              <a16:creationId xmlns:a16="http://schemas.microsoft.com/office/drawing/2014/main" id="{4B4CD39B-4ADB-47F4-28C6-510D07211B95}"/>
            </a:ext>
          </a:extLst>
        </xdr:cNvPr>
        <xdr:cNvSpPr txBox="1"/>
      </xdr:nvSpPr>
      <xdr:spPr>
        <a:xfrm>
          <a:off x="11229629560" y="5133975"/>
          <a:ext cx="3231515" cy="676275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1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ar-SA" sz="2400" b="1">
              <a:effectLst/>
              <a:latin typeface="Calibri" panose="020F0502020204030204" pitchFamily="34" charset="0"/>
              <a:ea typeface="Calibri" panose="020F0502020204030204" pitchFamily="34" charset="0"/>
              <a:cs typeface="Amiri" panose="00000500000000000000" pitchFamily="2" charset="-78"/>
            </a:rPr>
            <a:t>تقرير مبيعات محطة (اوتوميشن)</a:t>
          </a:r>
          <a:endParaRPr lang="en-US" sz="1200" b="1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438150</xdr:colOff>
      <xdr:row>24</xdr:row>
      <xdr:rowOff>428625</xdr:rowOff>
    </xdr:from>
    <xdr:to>
      <xdr:col>7</xdr:col>
      <xdr:colOff>507365</xdr:colOff>
      <xdr:row>27</xdr:row>
      <xdr:rowOff>104775</xdr:rowOff>
    </xdr:to>
    <xdr:sp macro="" textlink="">
      <xdr:nvSpPr>
        <xdr:cNvPr id="17" name="مربع نص 1">
          <a:extLst>
            <a:ext uri="{FF2B5EF4-FFF2-40B4-BE49-F238E27FC236}">
              <a16:creationId xmlns:a16="http://schemas.microsoft.com/office/drawing/2014/main" id="{A0A9DFD2-1F3C-CBF8-959D-050F3BB0A6C8}"/>
            </a:ext>
          </a:extLst>
        </xdr:cNvPr>
        <xdr:cNvSpPr txBox="1"/>
      </xdr:nvSpPr>
      <xdr:spPr>
        <a:xfrm>
          <a:off x="11231591710" y="7658100"/>
          <a:ext cx="3612515" cy="523875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1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ar-SA" sz="2400" b="1">
              <a:effectLst/>
              <a:latin typeface="Calibri" panose="020F0502020204030204" pitchFamily="34" charset="0"/>
              <a:ea typeface="Calibri" panose="020F0502020204030204" pitchFamily="34" charset="0"/>
              <a:cs typeface="Amiri" panose="00000500000000000000" pitchFamily="2" charset="-78"/>
            </a:rPr>
            <a:t>الفارق بينهما</a:t>
          </a:r>
          <a:endParaRPr lang="en-US" sz="12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5:P43"/>
  <sheetViews>
    <sheetView rightToLeft="1" tabSelected="1" workbookViewId="0">
      <selection activeCell="C5" sqref="C5:J43"/>
    </sheetView>
  </sheetViews>
  <sheetFormatPr defaultRowHeight="14.25" x14ac:dyDescent="0.2"/>
  <cols>
    <col min="1" max="2" width="1.5" customWidth="1"/>
    <col min="3" max="3" width="6.25" customWidth="1"/>
    <col min="4" max="4" width="7.25" customWidth="1"/>
    <col min="5" max="5" width="2.25" hidden="1" customWidth="1"/>
    <col min="6" max="6" width="17.5" customWidth="1"/>
    <col min="7" max="7" width="29" customWidth="1"/>
    <col min="8" max="8" width="22.375" customWidth="1"/>
    <col min="9" max="9" width="14.5" customWidth="1"/>
    <col min="10" max="10" width="2.125" hidden="1" customWidth="1"/>
    <col min="13" max="13" width="12.125" bestFit="1" customWidth="1"/>
    <col min="14" max="14" width="16.125" customWidth="1"/>
    <col min="15" max="15" width="15.125" customWidth="1"/>
    <col min="16" max="16" width="15.625" bestFit="1" customWidth="1"/>
    <col min="18" max="18" width="12.75" bestFit="1" customWidth="1"/>
    <col min="19" max="19" width="9.5" bestFit="1" customWidth="1"/>
  </cols>
  <sheetData>
    <row r="5" spans="3:16" ht="63" customHeight="1" x14ac:dyDescent="0.2">
      <c r="C5" s="23"/>
      <c r="D5" s="23"/>
      <c r="E5" s="23"/>
      <c r="F5" s="23"/>
      <c r="G5" s="23"/>
      <c r="H5" s="23"/>
      <c r="I5" s="23"/>
      <c r="J5" s="23"/>
    </row>
    <row r="6" spans="3:16" x14ac:dyDescent="0.2">
      <c r="C6" s="23"/>
      <c r="D6" s="23"/>
      <c r="E6" s="23"/>
      <c r="F6" s="23"/>
      <c r="G6" s="23"/>
      <c r="H6" s="23"/>
      <c r="I6" s="23"/>
      <c r="J6" s="23"/>
    </row>
    <row r="7" spans="3:16" x14ac:dyDescent="0.2">
      <c r="C7" s="23"/>
      <c r="D7" s="23"/>
      <c r="E7" s="23"/>
      <c r="F7" s="23"/>
      <c r="G7" s="23"/>
      <c r="H7" s="23"/>
      <c r="I7" s="23"/>
      <c r="J7" s="23"/>
    </row>
    <row r="8" spans="3:16" x14ac:dyDescent="0.2">
      <c r="C8" s="23"/>
      <c r="D8" s="23"/>
      <c r="E8" s="23"/>
      <c r="F8" s="23"/>
      <c r="G8" s="23"/>
      <c r="H8" s="23"/>
      <c r="I8" s="23"/>
      <c r="J8" s="23"/>
    </row>
    <row r="9" spans="3:16" x14ac:dyDescent="0.2">
      <c r="C9" s="23"/>
      <c r="D9" s="23"/>
      <c r="E9" s="23"/>
      <c r="F9" s="23"/>
      <c r="G9" s="23"/>
      <c r="H9" s="23"/>
      <c r="I9" s="23"/>
      <c r="J9" s="23"/>
    </row>
    <row r="10" spans="3:16" x14ac:dyDescent="0.2">
      <c r="C10" s="23"/>
      <c r="D10" s="23"/>
      <c r="E10" s="23"/>
      <c r="F10" s="23"/>
      <c r="G10" s="23"/>
      <c r="H10" s="23"/>
      <c r="I10" s="23"/>
      <c r="J10" s="23"/>
    </row>
    <row r="11" spans="3:16" x14ac:dyDescent="0.2">
      <c r="C11" s="23"/>
      <c r="D11" s="23"/>
      <c r="E11" s="23"/>
      <c r="F11" s="23"/>
      <c r="G11" s="23"/>
      <c r="H11" s="23"/>
      <c r="I11" s="23"/>
      <c r="J11" s="23"/>
    </row>
    <row r="12" spans="3:16" ht="15" thickBot="1" x14ac:dyDescent="0.25">
      <c r="C12" s="23"/>
      <c r="D12" s="23"/>
      <c r="E12" s="23"/>
      <c r="F12" s="23"/>
      <c r="G12" s="23"/>
      <c r="H12" s="23"/>
      <c r="I12" s="23"/>
      <c r="J12" s="23"/>
    </row>
    <row r="13" spans="3:16" ht="36.75" customHeight="1" thickTop="1" thickBot="1" x14ac:dyDescent="1.95">
      <c r="C13" s="23"/>
      <c r="D13" s="25" t="s">
        <v>0</v>
      </c>
      <c r="E13" s="26"/>
      <c r="F13" s="27"/>
      <c r="G13" s="5" t="s">
        <v>1</v>
      </c>
      <c r="H13" s="4" t="s">
        <v>2</v>
      </c>
      <c r="I13" s="24"/>
      <c r="J13" s="23"/>
      <c r="M13" s="20" t="s">
        <v>10</v>
      </c>
      <c r="N13" s="20" t="s">
        <v>11</v>
      </c>
      <c r="O13" s="20" t="s">
        <v>12</v>
      </c>
      <c r="P13" s="20" t="s">
        <v>13</v>
      </c>
    </row>
    <row r="14" spans="3:16" ht="31.5" customHeight="1" thickTop="1" thickBot="1" x14ac:dyDescent="0.25">
      <c r="C14" s="23"/>
      <c r="D14" s="28">
        <v>91</v>
      </c>
      <c r="E14" s="29"/>
      <c r="F14" s="6">
        <v>38656.300000000003</v>
      </c>
      <c r="G14" s="6">
        <v>28708</v>
      </c>
      <c r="H14" s="6">
        <v>62583.44</v>
      </c>
      <c r="I14" s="24"/>
      <c r="J14" s="23"/>
      <c r="M14" s="6">
        <v>0</v>
      </c>
      <c r="N14" s="6">
        <v>9948.2999999999993</v>
      </c>
      <c r="O14" s="6">
        <f>F14+M14-N14</f>
        <v>28708.000000000004</v>
      </c>
      <c r="P14" s="21">
        <f>G14-O14</f>
        <v>0</v>
      </c>
    </row>
    <row r="15" spans="3:16" ht="33.75" customHeight="1" thickTop="1" thickBot="1" x14ac:dyDescent="0.25">
      <c r="C15" s="23"/>
      <c r="D15" s="28">
        <v>95</v>
      </c>
      <c r="E15" s="29"/>
      <c r="F15" s="7">
        <v>10981.7</v>
      </c>
      <c r="G15" s="7">
        <v>15203</v>
      </c>
      <c r="H15" s="7">
        <v>35422.99</v>
      </c>
      <c r="I15" s="24"/>
      <c r="J15" s="23"/>
      <c r="M15" s="6">
        <v>32001.8</v>
      </c>
      <c r="N15" s="7">
        <v>27780.5</v>
      </c>
      <c r="O15" s="7">
        <f>F15+M15-N15</f>
        <v>15203</v>
      </c>
      <c r="P15" s="21">
        <f>G15-O15</f>
        <v>0</v>
      </c>
    </row>
    <row r="16" spans="3:16" ht="30" customHeight="1" thickTop="1" thickBot="1" x14ac:dyDescent="0.25">
      <c r="C16" s="23"/>
      <c r="D16" s="28" t="s">
        <v>3</v>
      </c>
      <c r="E16" s="29"/>
      <c r="F16" s="7">
        <v>10850.2</v>
      </c>
      <c r="G16" s="7">
        <v>2941</v>
      </c>
      <c r="H16" s="7">
        <v>3382.15</v>
      </c>
      <c r="I16" s="24"/>
      <c r="J16" s="23"/>
      <c r="M16" s="6">
        <v>0</v>
      </c>
      <c r="N16" s="7">
        <v>7909.2</v>
      </c>
      <c r="O16" s="7">
        <f>F16+M16-N16</f>
        <v>2941.0000000000009</v>
      </c>
      <c r="P16" s="21">
        <f>G16-O16</f>
        <v>0</v>
      </c>
    </row>
    <row r="17" spans="1:10" ht="36" customHeight="1" thickTop="1" thickBot="1" x14ac:dyDescent="2.2000000000000002">
      <c r="C17" s="23"/>
      <c r="D17" s="25" t="s">
        <v>4</v>
      </c>
      <c r="E17" s="26"/>
      <c r="F17" s="27"/>
      <c r="G17" s="8"/>
      <c r="H17" s="10">
        <v>101388.58</v>
      </c>
      <c r="I17" s="24"/>
      <c r="J17" s="23"/>
    </row>
    <row r="18" spans="1:10" ht="33" customHeight="1" thickTop="1" x14ac:dyDescent="0.2">
      <c r="C18" s="1"/>
      <c r="D18" s="22"/>
      <c r="E18" s="22"/>
      <c r="F18" s="22"/>
      <c r="G18" s="22"/>
      <c r="H18" s="22"/>
    </row>
    <row r="19" spans="1:10" ht="6" customHeight="1" thickBot="1" x14ac:dyDescent="0.25"/>
    <row r="20" spans="1:10" ht="15" hidden="1" customHeight="1" thickBot="1" x14ac:dyDescent="0.25"/>
    <row r="21" spans="1:10" s="2" customFormat="1" ht="40.5" customHeight="1" thickTop="1" thickBot="1" x14ac:dyDescent="2.2000000000000002">
      <c r="C21" s="33"/>
      <c r="D21" s="34" t="s">
        <v>1</v>
      </c>
      <c r="E21" s="35"/>
      <c r="F21" s="36"/>
      <c r="G21" s="9" t="s">
        <v>6</v>
      </c>
      <c r="H21" s="4" t="s">
        <v>5</v>
      </c>
      <c r="I21" s="31"/>
      <c r="J21" s="32"/>
    </row>
    <row r="22" spans="1:10" ht="32.25" customHeight="1" thickTop="1" thickBot="1" x14ac:dyDescent="0.25">
      <c r="A22" s="3"/>
      <c r="C22" s="33"/>
      <c r="D22" s="28">
        <v>91</v>
      </c>
      <c r="E22" s="29"/>
      <c r="F22" s="6">
        <v>24696.65</v>
      </c>
      <c r="G22" s="6">
        <v>53847.14</v>
      </c>
      <c r="H22" s="11">
        <f>F22*2.18</f>
        <v>53838.697000000007</v>
      </c>
      <c r="I22" s="31"/>
      <c r="J22" s="32"/>
    </row>
    <row r="23" spans="1:10" ht="36" customHeight="1" thickTop="1" thickBot="1" x14ac:dyDescent="0.25">
      <c r="C23" s="33"/>
      <c r="D23" s="28">
        <v>95</v>
      </c>
      <c r="E23" s="29"/>
      <c r="F23" s="7">
        <v>12911.99</v>
      </c>
      <c r="G23" s="7">
        <v>30090.45</v>
      </c>
      <c r="H23" s="11">
        <f>F23*2.33</f>
        <v>30084.936700000002</v>
      </c>
      <c r="I23" s="31"/>
      <c r="J23" s="32"/>
    </row>
    <row r="24" spans="1:10" ht="33" customHeight="1" thickTop="1" thickBot="1" x14ac:dyDescent="0.25">
      <c r="C24" s="33"/>
      <c r="D24" s="37" t="s">
        <v>3</v>
      </c>
      <c r="E24" s="38"/>
      <c r="F24" s="7">
        <v>2903.85</v>
      </c>
      <c r="G24" s="19">
        <v>3339.71</v>
      </c>
      <c r="H24" s="11">
        <f>F24*1.15</f>
        <v>3339.4274999999998</v>
      </c>
      <c r="I24" s="31"/>
      <c r="J24" s="32"/>
    </row>
    <row r="25" spans="1:10" ht="37.5" customHeight="1" thickTop="1" thickBot="1" x14ac:dyDescent="0.25">
      <c r="C25" s="33"/>
      <c r="D25" s="25" t="s">
        <v>4</v>
      </c>
      <c r="E25" s="26"/>
      <c r="F25" s="27"/>
      <c r="G25" s="13">
        <f>SUM(G22:G24)</f>
        <v>87277.3</v>
      </c>
      <c r="H25" s="11">
        <f>SUM(H22:H24)</f>
        <v>87263.061200000011</v>
      </c>
      <c r="I25" s="31"/>
      <c r="J25" s="32"/>
    </row>
    <row r="26" spans="1:10" ht="15" thickTop="1" x14ac:dyDescent="0.2">
      <c r="C26" s="23"/>
      <c r="D26" s="23"/>
      <c r="E26" s="23"/>
      <c r="F26" s="23"/>
      <c r="G26" s="23"/>
      <c r="H26" s="23"/>
      <c r="I26" s="23"/>
    </row>
    <row r="27" spans="1:10" x14ac:dyDescent="0.2">
      <c r="C27" s="23"/>
      <c r="D27" s="23"/>
      <c r="E27" s="23"/>
      <c r="F27" s="23"/>
      <c r="G27" s="23"/>
      <c r="H27" s="23"/>
      <c r="I27" s="23"/>
    </row>
    <row r="28" spans="1:10" ht="15" thickBot="1" x14ac:dyDescent="0.25">
      <c r="C28" s="23"/>
      <c r="D28" s="23"/>
      <c r="E28" s="23"/>
      <c r="F28" s="23"/>
      <c r="G28" s="23"/>
      <c r="H28" s="23"/>
      <c r="I28" s="23"/>
    </row>
    <row r="29" spans="1:10" ht="34.5" customHeight="1" thickTop="1" thickBot="1" x14ac:dyDescent="0.25">
      <c r="C29" s="30"/>
      <c r="D29" s="34" t="s">
        <v>7</v>
      </c>
      <c r="E29" s="35"/>
      <c r="F29" s="36"/>
      <c r="G29" s="4" t="s">
        <v>9</v>
      </c>
      <c r="H29" s="5" t="s">
        <v>8</v>
      </c>
      <c r="I29" s="14"/>
      <c r="J29" s="23"/>
    </row>
    <row r="30" spans="1:10" ht="38.25" customHeight="1" thickTop="1" thickBot="1" x14ac:dyDescent="0.25">
      <c r="C30" s="30"/>
      <c r="D30" s="28">
        <v>91</v>
      </c>
      <c r="E30" s="29"/>
      <c r="F30" s="13">
        <f t="shared" ref="F30:G32" si="0">G14-F22</f>
        <v>4011.3499999999985</v>
      </c>
      <c r="G30" s="12">
        <f t="shared" si="0"/>
        <v>8736.3000000000029</v>
      </c>
      <c r="H30" s="13">
        <f>F30*2.18</f>
        <v>8744.7429999999968</v>
      </c>
      <c r="I30" s="15"/>
      <c r="J30" s="23"/>
    </row>
    <row r="31" spans="1:10" ht="41.25" customHeight="1" thickTop="1" thickBot="1" x14ac:dyDescent="0.25">
      <c r="C31" s="30"/>
      <c r="D31" s="28">
        <v>95</v>
      </c>
      <c r="E31" s="29"/>
      <c r="F31" s="13">
        <f t="shared" si="0"/>
        <v>2291.0100000000002</v>
      </c>
      <c r="G31" s="13">
        <f t="shared" si="0"/>
        <v>5332.5399999999972</v>
      </c>
      <c r="H31" s="13">
        <f>F31*2.33</f>
        <v>5338.0533000000005</v>
      </c>
      <c r="I31" s="15"/>
      <c r="J31" s="24"/>
    </row>
    <row r="32" spans="1:10" ht="45.75" customHeight="1" thickTop="1" thickBot="1" x14ac:dyDescent="0.25">
      <c r="C32" s="30"/>
      <c r="D32" s="37" t="s">
        <v>3</v>
      </c>
      <c r="E32" s="38"/>
      <c r="F32" s="16">
        <f t="shared" si="0"/>
        <v>37.150000000000091</v>
      </c>
      <c r="G32" s="13">
        <f t="shared" si="0"/>
        <v>42.440000000000055</v>
      </c>
      <c r="H32" s="13">
        <f>F32*1.15</f>
        <v>42.722500000000103</v>
      </c>
      <c r="I32" s="15"/>
      <c r="J32" s="24"/>
    </row>
    <row r="33" spans="3:10" ht="36.75" customHeight="1" thickTop="1" thickBot="1" x14ac:dyDescent="0.25">
      <c r="C33" s="30"/>
      <c r="D33" s="18" t="s">
        <v>4</v>
      </c>
      <c r="E33" s="17"/>
      <c r="F33" s="13">
        <f>SUM(F30:F32)</f>
        <v>6339.5099999999984</v>
      </c>
      <c r="G33" s="13">
        <f>SUM(G30:G32)</f>
        <v>14111.28</v>
      </c>
      <c r="H33" s="13">
        <f>SUM(H30:H32)</f>
        <v>14125.518799999998</v>
      </c>
      <c r="I33" s="15"/>
      <c r="J33" s="23"/>
    </row>
    <row r="34" spans="3:10" ht="15" thickTop="1" x14ac:dyDescent="0.2">
      <c r="C34" s="23"/>
      <c r="D34" s="23"/>
      <c r="E34" s="23"/>
      <c r="F34" s="23"/>
      <c r="G34" s="23"/>
      <c r="H34" s="23"/>
      <c r="I34" s="23"/>
      <c r="J34" s="23"/>
    </row>
    <row r="35" spans="3:10" x14ac:dyDescent="0.2">
      <c r="C35" s="23"/>
      <c r="D35" s="23"/>
      <c r="E35" s="23"/>
      <c r="F35" s="23"/>
      <c r="G35" s="23"/>
      <c r="H35" s="23"/>
      <c r="I35" s="23"/>
      <c r="J35" s="23"/>
    </row>
    <row r="36" spans="3:10" x14ac:dyDescent="0.2">
      <c r="C36" s="23"/>
      <c r="D36" s="23"/>
      <c r="E36" s="23"/>
      <c r="F36" s="23"/>
      <c r="G36" s="23"/>
      <c r="H36" s="23"/>
      <c r="I36" s="23"/>
      <c r="J36" s="23"/>
    </row>
    <row r="37" spans="3:10" x14ac:dyDescent="0.2">
      <c r="C37" s="23"/>
      <c r="D37" s="23"/>
      <c r="E37" s="23"/>
      <c r="F37" s="23"/>
      <c r="G37" s="23"/>
      <c r="H37" s="23"/>
      <c r="I37" s="23"/>
      <c r="J37" s="23"/>
    </row>
    <row r="38" spans="3:10" x14ac:dyDescent="0.2">
      <c r="C38" s="23"/>
      <c r="D38" s="23"/>
      <c r="E38" s="23"/>
      <c r="F38" s="23"/>
      <c r="G38" s="23"/>
      <c r="H38" s="23"/>
      <c r="I38" s="23"/>
      <c r="J38" s="23"/>
    </row>
    <row r="39" spans="3:10" x14ac:dyDescent="0.2">
      <c r="C39" s="23"/>
      <c r="D39" s="23"/>
      <c r="E39" s="23"/>
      <c r="F39" s="23"/>
      <c r="G39" s="23"/>
      <c r="H39" s="23"/>
      <c r="I39" s="23"/>
      <c r="J39" s="23"/>
    </row>
    <row r="40" spans="3:10" x14ac:dyDescent="0.2">
      <c r="C40" s="23"/>
      <c r="D40" s="23"/>
      <c r="E40" s="23"/>
      <c r="F40" s="23"/>
      <c r="G40" s="23"/>
      <c r="H40" s="23"/>
      <c r="I40" s="23"/>
      <c r="J40" s="23"/>
    </row>
    <row r="41" spans="3:10" ht="6.75" customHeight="1" x14ac:dyDescent="0.2">
      <c r="C41" s="23"/>
      <c r="D41" s="23"/>
      <c r="E41" s="23"/>
      <c r="F41" s="23"/>
      <c r="G41" s="23"/>
      <c r="H41" s="23"/>
      <c r="I41" s="23"/>
      <c r="J41" s="23"/>
    </row>
    <row r="42" spans="3:10" hidden="1" x14ac:dyDescent="0.2">
      <c r="C42" s="23"/>
      <c r="D42" s="23"/>
      <c r="E42" s="23"/>
      <c r="F42" s="23"/>
      <c r="G42" s="23"/>
      <c r="H42" s="23"/>
      <c r="I42" s="23"/>
      <c r="J42" s="23"/>
    </row>
    <row r="43" spans="3:10" hidden="1" x14ac:dyDescent="0.2">
      <c r="C43" s="23"/>
      <c r="D43" s="23"/>
      <c r="E43" s="23"/>
      <c r="F43" s="23"/>
      <c r="G43" s="23"/>
      <c r="H43" s="23"/>
      <c r="I43" s="23"/>
      <c r="J43" s="23"/>
    </row>
  </sheetData>
  <mergeCells count="25">
    <mergeCell ref="C29:C33"/>
    <mergeCell ref="J29:J33"/>
    <mergeCell ref="I21:J25"/>
    <mergeCell ref="C21:C25"/>
    <mergeCell ref="C34:J43"/>
    <mergeCell ref="D29:F29"/>
    <mergeCell ref="D32:E32"/>
    <mergeCell ref="D24:E24"/>
    <mergeCell ref="D21:F21"/>
    <mergeCell ref="D22:E22"/>
    <mergeCell ref="D30:E30"/>
    <mergeCell ref="D31:E31"/>
    <mergeCell ref="D18:H18"/>
    <mergeCell ref="D26:I28"/>
    <mergeCell ref="C26:C28"/>
    <mergeCell ref="C5:J12"/>
    <mergeCell ref="C13:C17"/>
    <mergeCell ref="I13:J17"/>
    <mergeCell ref="D25:F25"/>
    <mergeCell ref="D23:E23"/>
    <mergeCell ref="D13:F13"/>
    <mergeCell ref="D14:E14"/>
    <mergeCell ref="D15:E15"/>
    <mergeCell ref="D16:E16"/>
    <mergeCell ref="D17:F17"/>
  </mergeCells>
  <printOptions verticalCentered="1"/>
  <pageMargins left="0" right="0" top="0" bottom="0" header="0" footer="0.31496062992125984"/>
  <pageSetup paperSize="9" scale="91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b4746</cp:lastModifiedBy>
  <cp:lastPrinted>2024-06-27T05:34:18Z</cp:lastPrinted>
  <dcterms:created xsi:type="dcterms:W3CDTF">2015-06-05T18:17:20Z</dcterms:created>
  <dcterms:modified xsi:type="dcterms:W3CDTF">2024-06-27T05:34:22Z</dcterms:modified>
</cp:coreProperties>
</file>