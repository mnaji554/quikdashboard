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4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13_ncr:1_{3EC57DCD-CB5F-4C4F-8FE5-64C14A3C3BAE}" xr6:coauthVersionLast="47" xr6:coauthVersionMax="47" xr10:uidLastSave="{00000000-0000-0000-0000-000000000000}"/>
  <bookViews>
    <workbookView xWindow="-120" yWindow="-120" windowWidth="24240" windowHeight="13020" tabRatio="601" xr2:uid="{2D68CE81-E511-4B36-8E78-A626F5F07E4E}"/>
  </bookViews>
  <sheets>
    <sheet name="مبيعات" sheetId="1" r:id="rId1"/>
    <sheet name="ورقة4" sheetId="35" r:id="rId2"/>
    <sheet name="مخزون " sheetId="25" r:id="rId3"/>
    <sheet name="مخزون" sheetId="27" r:id="rId4"/>
    <sheet name="مخزون ديزل" sheetId="28" r:id="rId5"/>
    <sheet name="توريد91" sheetId="2" r:id="rId6"/>
    <sheet name="توريد95" sheetId="3" r:id="rId7"/>
    <sheet name="توريد DE" sheetId="4" r:id="rId8"/>
    <sheet name="تصفير91" sheetId="5" r:id="rId9"/>
    <sheet name="تصفير95" sheetId="6" r:id="rId10"/>
    <sheet name="تصفيرDE" sheetId="7" r:id="rId11"/>
    <sheet name="عهده" sheetId="9" r:id="rId12"/>
    <sheet name="تصقية" sheetId="20" r:id="rId13"/>
    <sheet name="مفقودات" sheetId="8" r:id="rId14"/>
    <sheet name="المعايرة" sheetId="10" r:id="rId15"/>
    <sheet name="تقييم" sheetId="21" r:id="rId16"/>
    <sheet name="العمال" sheetId="16" r:id="rId17"/>
    <sheet name="الصيانة" sheetId="11" r:id="rId18"/>
    <sheet name="النظافة " sheetId="36" r:id="rId19"/>
    <sheet name="جدول دوام" sheetId="19" r:id="rId20"/>
    <sheet name="معاينة" sheetId="29" r:id="rId21"/>
    <sheet name="مضخة" sheetId="30" r:id="rId22"/>
    <sheet name="الحاويات" sheetId="38" r:id="rId23"/>
    <sheet name="حوادث" sheetId="33" r:id="rId24"/>
    <sheet name="تقرير شهري" sheetId="32" r:id="rId25"/>
  </sheets>
  <definedNames>
    <definedName name="_xlnm.Print_Area" localSheetId="17">الصيانة!$A$1:$O$20</definedName>
    <definedName name="_xlnm.Print_Area" localSheetId="16">العمال!$A$1:$M$33</definedName>
    <definedName name="_xlnm.Print_Area" localSheetId="14">المعايرة!$A$86:$P$131</definedName>
    <definedName name="_xlnm.Print_Area" localSheetId="18">'النظافة '!$A$1:$R$104</definedName>
    <definedName name="_xlnm.Print_Area" localSheetId="8">تصفير91!$A$1:$L$137</definedName>
    <definedName name="_xlnm.Print_Area" localSheetId="9">تصفير95!$A$1:$K$86</definedName>
    <definedName name="_xlnm.Print_Area" localSheetId="10">تصفيرDE!$A$1:$L$35</definedName>
    <definedName name="_xlnm.Print_Area" localSheetId="12">تصقية!$A$36:$K$81</definedName>
    <definedName name="_xlnm.Print_Area" localSheetId="11">عهده!#REF!</definedName>
    <definedName name="_xlnm.Print_Area" localSheetId="21">مضخة!$A$57:$L$114</definedName>
    <definedName name="_xlnm.Print_Area" localSheetId="13">مفقودات!$B$1:$M$35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2" i="1" l="1"/>
  <c r="R30" i="1"/>
  <c r="R27" i="1"/>
  <c r="R26" i="1"/>
  <c r="R25" i="1"/>
  <c r="R20" i="1"/>
  <c r="R19" i="1"/>
  <c r="R14" i="1"/>
  <c r="R13" i="1"/>
  <c r="R9" i="1"/>
  <c r="R8" i="1"/>
  <c r="R7" i="1"/>
  <c r="R21" i="1"/>
  <c r="R15" i="1"/>
  <c r="C8" i="1"/>
  <c r="C53" i="1" s="1"/>
  <c r="C55" i="1" s="1"/>
  <c r="I115" i="10"/>
  <c r="I80" i="10"/>
  <c r="I57" i="10"/>
  <c r="I28" i="10"/>
  <c r="I25" i="6"/>
  <c r="B25" i="6"/>
  <c r="F18" i="6"/>
  <c r="F17" i="6"/>
  <c r="F16" i="6"/>
  <c r="J81" i="5"/>
  <c r="C81" i="5"/>
  <c r="G70" i="5"/>
  <c r="G69" i="5"/>
  <c r="J36" i="5"/>
  <c r="C36" i="5"/>
  <c r="G25" i="5"/>
  <c r="G24" i="5"/>
  <c r="G23" i="5"/>
  <c r="G35" i="4"/>
  <c r="E35" i="4"/>
  <c r="G34" i="3"/>
  <c r="E34" i="3"/>
  <c r="K13" i="3"/>
  <c r="G41" i="2"/>
  <c r="E41" i="2"/>
  <c r="K22" i="2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41" i="27"/>
  <c r="F40" i="27"/>
  <c r="F39" i="27"/>
  <c r="F38" i="27"/>
  <c r="F37" i="27"/>
  <c r="F36" i="27"/>
  <c r="F35" i="27"/>
  <c r="F34" i="27"/>
  <c r="F33" i="27"/>
  <c r="F32" i="27"/>
  <c r="F31" i="27"/>
  <c r="F30" i="27"/>
  <c r="F29" i="27"/>
  <c r="F28" i="27"/>
  <c r="F27" i="27"/>
  <c r="F26" i="27"/>
  <c r="F25" i="27"/>
  <c r="F24" i="27"/>
  <c r="F23" i="27"/>
  <c r="F22" i="27"/>
  <c r="F21" i="27"/>
  <c r="F20" i="27"/>
  <c r="F19" i="27"/>
  <c r="F18" i="27"/>
  <c r="F17" i="27"/>
  <c r="F16" i="27"/>
  <c r="F15" i="27"/>
  <c r="F14" i="27"/>
  <c r="F13" i="27"/>
  <c r="F12" i="27"/>
  <c r="F11" i="27"/>
  <c r="F10" i="27"/>
  <c r="F59" i="25"/>
  <c r="F58" i="25"/>
  <c r="F57" i="25"/>
  <c r="F56" i="25"/>
  <c r="F55" i="25"/>
  <c r="F54" i="25"/>
  <c r="F53" i="25"/>
  <c r="F52" i="25"/>
  <c r="F51" i="25"/>
  <c r="F50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C38" i="35"/>
  <c r="C37" i="35"/>
  <c r="C36" i="35"/>
  <c r="C35" i="35"/>
  <c r="C34" i="35"/>
  <c r="C33" i="35"/>
  <c r="C32" i="35"/>
  <c r="C31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K55" i="1"/>
  <c r="J55" i="1"/>
  <c r="I55" i="1"/>
  <c r="G55" i="1"/>
  <c r="E55" i="1"/>
  <c r="K53" i="1"/>
  <c r="J53" i="1"/>
  <c r="I53" i="1"/>
  <c r="G53" i="1"/>
  <c r="E53" i="1"/>
  <c r="R42" i="1"/>
  <c r="R41" i="1"/>
  <c r="R40" i="1"/>
  <c r="K39" i="1"/>
  <c r="J39" i="1"/>
  <c r="I39" i="1"/>
  <c r="G39" i="1"/>
  <c r="F39" i="1"/>
  <c r="E39" i="1"/>
  <c r="D39" i="1"/>
  <c r="B39" i="1"/>
  <c r="H38" i="1"/>
  <c r="G38" i="1"/>
  <c r="E38" i="1"/>
  <c r="C38" i="1"/>
  <c r="R37" i="1"/>
  <c r="H37" i="1"/>
  <c r="G37" i="1"/>
  <c r="E37" i="1"/>
  <c r="C37" i="1"/>
  <c r="R36" i="1"/>
  <c r="H36" i="1"/>
  <c r="G36" i="1"/>
  <c r="E36" i="1"/>
  <c r="C36" i="1"/>
  <c r="R35" i="1"/>
  <c r="H35" i="1"/>
  <c r="G35" i="1"/>
  <c r="E35" i="1"/>
  <c r="C35" i="1"/>
  <c r="H34" i="1"/>
  <c r="G34" i="1"/>
  <c r="E34" i="1"/>
  <c r="C34" i="1"/>
  <c r="H33" i="1"/>
  <c r="G33" i="1"/>
  <c r="E33" i="1"/>
  <c r="C33" i="1"/>
  <c r="H32" i="1"/>
  <c r="G32" i="1"/>
  <c r="E32" i="1"/>
  <c r="C32" i="1"/>
  <c r="R31" i="1"/>
  <c r="H31" i="1"/>
  <c r="G31" i="1"/>
  <c r="E31" i="1"/>
  <c r="C31" i="1"/>
  <c r="H30" i="1"/>
  <c r="G30" i="1"/>
  <c r="E30" i="1"/>
  <c r="C30" i="1"/>
  <c r="H29" i="1"/>
  <c r="G29" i="1"/>
  <c r="E29" i="1"/>
  <c r="C29" i="1"/>
  <c r="H28" i="1"/>
  <c r="G28" i="1"/>
  <c r="E28" i="1"/>
  <c r="C28" i="1"/>
  <c r="H27" i="1"/>
  <c r="G27" i="1"/>
  <c r="E27" i="1"/>
  <c r="C27" i="1"/>
  <c r="H26" i="1"/>
  <c r="G26" i="1"/>
  <c r="E26" i="1"/>
  <c r="C26" i="1"/>
  <c r="H25" i="1"/>
  <c r="G25" i="1"/>
  <c r="E25" i="1"/>
  <c r="C25" i="1"/>
  <c r="H24" i="1"/>
  <c r="G24" i="1"/>
  <c r="E24" i="1"/>
  <c r="C24" i="1"/>
  <c r="H23" i="1"/>
  <c r="G23" i="1"/>
  <c r="E23" i="1"/>
  <c r="C23" i="1"/>
  <c r="H22" i="1"/>
  <c r="G22" i="1"/>
  <c r="E22" i="1"/>
  <c r="C22" i="1"/>
  <c r="H21" i="1"/>
  <c r="G21" i="1"/>
  <c r="E21" i="1"/>
  <c r="C21" i="1"/>
  <c r="H20" i="1"/>
  <c r="G20" i="1"/>
  <c r="E20" i="1"/>
  <c r="C20" i="1"/>
  <c r="H19" i="1"/>
  <c r="G19" i="1"/>
  <c r="E19" i="1"/>
  <c r="C19" i="1"/>
  <c r="H18" i="1"/>
  <c r="G18" i="1"/>
  <c r="E18" i="1"/>
  <c r="C18" i="1"/>
  <c r="H17" i="1"/>
  <c r="G17" i="1"/>
  <c r="E17" i="1"/>
  <c r="C17" i="1"/>
  <c r="H16" i="1"/>
  <c r="G16" i="1"/>
  <c r="E16" i="1"/>
  <c r="C16" i="1"/>
  <c r="H15" i="1"/>
  <c r="G15" i="1"/>
  <c r="E15" i="1"/>
  <c r="C15" i="1"/>
  <c r="H14" i="1"/>
  <c r="G14" i="1"/>
  <c r="E14" i="1"/>
  <c r="C14" i="1"/>
  <c r="H13" i="1"/>
  <c r="G13" i="1"/>
  <c r="E13" i="1"/>
  <c r="C13" i="1"/>
  <c r="H12" i="1"/>
  <c r="G12" i="1"/>
  <c r="E12" i="1"/>
  <c r="C12" i="1"/>
  <c r="H11" i="1"/>
  <c r="G11" i="1"/>
  <c r="E11" i="1"/>
  <c r="C11" i="1"/>
  <c r="H10" i="1"/>
  <c r="G10" i="1"/>
  <c r="E10" i="1"/>
  <c r="C10" i="1"/>
  <c r="H9" i="1"/>
  <c r="G9" i="1"/>
  <c r="E9" i="1"/>
  <c r="C9" i="1"/>
  <c r="G8" i="1"/>
  <c r="E8" i="1"/>
  <c r="C39" i="1" l="1"/>
  <c r="H8" i="1"/>
  <c r="H53" i="1" l="1"/>
  <c r="H55" i="1" s="1"/>
  <c r="H39" i="1"/>
  <c r="E172" i="30"/>
  <c r="B309" i="30"/>
</calcChain>
</file>

<file path=xl/sharedStrings.xml><?xml version="1.0" encoding="utf-8"?>
<sst xmlns="http://schemas.openxmlformats.org/spreadsheetml/2006/main" count="1741" uniqueCount="506">
  <si>
    <t>م</t>
  </si>
  <si>
    <t xml:space="preserve">التاريخ </t>
  </si>
  <si>
    <t>رقم الطلب</t>
  </si>
  <si>
    <t>النوع</t>
  </si>
  <si>
    <t xml:space="preserve">الكمية المشحونة  </t>
  </si>
  <si>
    <t xml:space="preserve">الكمية الموردة </t>
  </si>
  <si>
    <t>العدد</t>
  </si>
  <si>
    <t>de</t>
  </si>
  <si>
    <t>to</t>
  </si>
  <si>
    <t>المجموع</t>
  </si>
  <si>
    <t xml:space="preserve">مدير العمليات  </t>
  </si>
  <si>
    <t xml:space="preserve">         كويك</t>
  </si>
  <si>
    <t xml:space="preserve">    إدارة العمليات</t>
  </si>
  <si>
    <t>بنزين 91</t>
  </si>
  <si>
    <t>بنزين 95</t>
  </si>
  <si>
    <t xml:space="preserve">ديزل </t>
  </si>
  <si>
    <t>اجمالي المبيعات بالريال</t>
  </si>
  <si>
    <t>نقدي</t>
  </si>
  <si>
    <t>نقاط بيع</t>
  </si>
  <si>
    <t>آجل</t>
  </si>
  <si>
    <t>اليوم</t>
  </si>
  <si>
    <t>L</t>
  </si>
  <si>
    <t>SR</t>
  </si>
  <si>
    <t>L2</t>
  </si>
  <si>
    <t>SR2</t>
  </si>
  <si>
    <t>L3</t>
  </si>
  <si>
    <t>SR3</t>
  </si>
  <si>
    <t>TOTAL</t>
  </si>
  <si>
    <t>CASH</t>
  </si>
  <si>
    <t>ATM</t>
  </si>
  <si>
    <t>BIL</t>
  </si>
  <si>
    <t>الاجمالي</t>
  </si>
  <si>
    <t xml:space="preserve">             علما ان سعر البيع شامل الضريبة 15%</t>
  </si>
  <si>
    <t xml:space="preserve">مدير العمليات </t>
  </si>
  <si>
    <t>سعد محمد احمد لبدان</t>
  </si>
  <si>
    <r>
      <rPr>
        <b/>
        <sz val="18"/>
        <color theme="1"/>
        <rFont val="Arial"/>
        <family val="2"/>
        <scheme val="minor"/>
      </rPr>
      <t>مجموعة تركي بن عبدالعزيز العامر</t>
    </r>
    <r>
      <rPr>
        <sz val="18"/>
        <color theme="1"/>
        <rFont val="Arial"/>
        <family val="2"/>
        <scheme val="minor"/>
      </rPr>
      <t xml:space="preserve"> </t>
    </r>
  </si>
  <si>
    <t xml:space="preserve">إدارة العمليات </t>
  </si>
  <si>
    <t>تقرير هروب السيارات</t>
  </si>
  <si>
    <t>المنطقة</t>
  </si>
  <si>
    <t>عسير</t>
  </si>
  <si>
    <t>اسم المحطة</t>
  </si>
  <si>
    <t>العامر كويك</t>
  </si>
  <si>
    <t>التاريخ</t>
  </si>
  <si>
    <t>الوقت</t>
  </si>
  <si>
    <t>نوع السياره</t>
  </si>
  <si>
    <t>اللون</t>
  </si>
  <si>
    <t>رقم اللوحه</t>
  </si>
  <si>
    <t>المبلغ</t>
  </si>
  <si>
    <t>السداد</t>
  </si>
  <si>
    <t>نوع السداد</t>
  </si>
  <si>
    <t>تاريخ السداد</t>
  </si>
  <si>
    <t>الملاحظات</t>
  </si>
  <si>
    <t>إضافية</t>
  </si>
  <si>
    <t>تصفيرة الخزان</t>
  </si>
  <si>
    <t>رقم المحطة</t>
  </si>
  <si>
    <t>TO</t>
  </si>
  <si>
    <t>الملاحظات :</t>
  </si>
  <si>
    <t>تقرير تصفير الخزانات</t>
  </si>
  <si>
    <t>95  نوع البنزين</t>
  </si>
  <si>
    <t>نوع البنزين (ديزل)</t>
  </si>
  <si>
    <r>
      <rPr>
        <b/>
        <sz val="12"/>
        <color theme="1"/>
        <rFont val="Arial"/>
        <family val="2"/>
        <scheme val="minor"/>
      </rPr>
      <t xml:space="preserve">           مجموعة تركي بن عبدالعزيز العامر</t>
    </r>
    <r>
      <rPr>
        <sz val="12"/>
        <color theme="1"/>
        <rFont val="Arial"/>
        <family val="2"/>
        <scheme val="minor"/>
      </rPr>
      <t xml:space="preserve"> </t>
    </r>
  </si>
  <si>
    <t xml:space="preserve">                     إدارة العمليات </t>
  </si>
  <si>
    <t xml:space="preserve">                 كشف تسوية العهدة</t>
  </si>
  <si>
    <t xml:space="preserve">            تاريخ استلام العهده 2022/3/22</t>
  </si>
  <si>
    <t xml:space="preserve">                قيمة العهده 2000 ريال </t>
  </si>
  <si>
    <t>البيان</t>
  </si>
  <si>
    <t>رقم الفاتورة</t>
  </si>
  <si>
    <t xml:space="preserve">                    سعد محمد احمد لبدان </t>
  </si>
  <si>
    <t xml:space="preserve">          مجموعة تركي بن عبد العزيز العامر</t>
  </si>
  <si>
    <t xml:space="preserve">بداية قراءة العدادات </t>
  </si>
  <si>
    <t>نهاية قراءة العدادات</t>
  </si>
  <si>
    <t xml:space="preserve">اليوم </t>
  </si>
  <si>
    <t xml:space="preserve">كويك </t>
  </si>
  <si>
    <t xml:space="preserve">    مجموعة تركي بن عبدالعزيز العامر </t>
  </si>
  <si>
    <t>الشركة المصينة</t>
  </si>
  <si>
    <t>الرقم</t>
  </si>
  <si>
    <t>اسم الفني</t>
  </si>
  <si>
    <t>الإنجاز</t>
  </si>
  <si>
    <t>نوع الصيانة</t>
  </si>
  <si>
    <t>وصف الصيانة</t>
  </si>
  <si>
    <t xml:space="preserve">نوع المعايرة </t>
  </si>
  <si>
    <t>ملاحظات موظفين العمليات</t>
  </si>
  <si>
    <t>اسم الموظف</t>
  </si>
  <si>
    <t>الرقم الوظيفي</t>
  </si>
  <si>
    <t>الملاحظة</t>
  </si>
  <si>
    <t>المعايرة والصيانة</t>
  </si>
  <si>
    <t>تاريخ المعايرة</t>
  </si>
  <si>
    <t>عدد اللترات المستخرجة وقت المعايرة</t>
  </si>
  <si>
    <t>رقم الطرمبة</t>
  </si>
  <si>
    <t xml:space="preserve">ضبط المعايرة </t>
  </si>
  <si>
    <t>المعالجة</t>
  </si>
  <si>
    <t>AVR</t>
  </si>
  <si>
    <t>MIN</t>
  </si>
  <si>
    <t>DE</t>
  </si>
  <si>
    <t>عدد الفواتير</t>
  </si>
  <si>
    <t>اجمالي الفواتير</t>
  </si>
  <si>
    <t xml:space="preserve">مفقودات </t>
  </si>
  <si>
    <t xml:space="preserve">مصروفات </t>
  </si>
  <si>
    <t>معايرة</t>
  </si>
  <si>
    <t xml:space="preserve">الإجمالي </t>
  </si>
  <si>
    <t xml:space="preserve">سلف العمال </t>
  </si>
  <si>
    <t xml:space="preserve">ملاحظة </t>
  </si>
  <si>
    <t xml:space="preserve"> اكرامية سواقين بن دعجم </t>
  </si>
  <si>
    <t>تاريخ تسليم العهده 14/4/2022</t>
  </si>
  <si>
    <t>91  نوع البنزين</t>
  </si>
  <si>
    <t xml:space="preserve">روبل </t>
  </si>
  <si>
    <t xml:space="preserve">مجموعة تركي بن عبدالعزيز العامر </t>
  </si>
  <si>
    <t>إدارة العمليات بالتنسيق مع إدارة الجودة</t>
  </si>
  <si>
    <t xml:space="preserve">الاسم </t>
  </si>
  <si>
    <t xml:space="preserve"> العمليات </t>
  </si>
  <si>
    <t>التعامل مع العملاء</t>
  </si>
  <si>
    <t>الزي</t>
  </si>
  <si>
    <t>الأخطاء</t>
  </si>
  <si>
    <t>منا</t>
  </si>
  <si>
    <t>نازرول</t>
  </si>
  <si>
    <t>إدارة الجودة</t>
  </si>
  <si>
    <t>إدارة العمليات</t>
  </si>
  <si>
    <t>م/ إبراهيم الحازمي</t>
  </si>
  <si>
    <t xml:space="preserve">سعد محمد لبدان </t>
  </si>
  <si>
    <t>مجموع</t>
  </si>
  <si>
    <t>الرصيد</t>
  </si>
  <si>
    <t>sellr</t>
  </si>
  <si>
    <t>MAX</t>
  </si>
  <si>
    <t xml:space="preserve">عسير </t>
  </si>
  <si>
    <t xml:space="preserve">بيان المفقودات </t>
  </si>
  <si>
    <t xml:space="preserve">الحسابات </t>
  </si>
  <si>
    <t>مدير الجودة</t>
  </si>
  <si>
    <t>م/إبراهيم الحازمي</t>
  </si>
  <si>
    <t xml:space="preserve">المنطقة </t>
  </si>
  <si>
    <t>الأربعاء</t>
  </si>
  <si>
    <t>الاسم</t>
  </si>
  <si>
    <t xml:space="preserve">السبت </t>
  </si>
  <si>
    <t>الأحد</t>
  </si>
  <si>
    <t>الإثنين</t>
  </si>
  <si>
    <t>الثلاثاء</t>
  </si>
  <si>
    <t>الخميس</t>
  </si>
  <si>
    <t>الجمعة</t>
  </si>
  <si>
    <t xml:space="preserve">ملاحظات </t>
  </si>
  <si>
    <t xml:space="preserve">سليم </t>
  </si>
  <si>
    <t xml:space="preserve">اشرف </t>
  </si>
  <si>
    <t xml:space="preserve">مشرف المنطقة </t>
  </si>
  <si>
    <t>مدير العمليات</t>
  </si>
  <si>
    <t xml:space="preserve">جدول عمال المظلة </t>
  </si>
  <si>
    <t>الديزل</t>
  </si>
  <si>
    <t>كويك 1</t>
  </si>
  <si>
    <t>اجمالي عدد الردود</t>
  </si>
  <si>
    <t>اجمالي كمية الردود</t>
  </si>
  <si>
    <t>اجمالي اللترات المباعة</t>
  </si>
  <si>
    <t>اجمالي الكمية المفقودة  للردود</t>
  </si>
  <si>
    <t>الكمية المفقودة في الرد الواحد</t>
  </si>
  <si>
    <t xml:space="preserve">كمية المعايرة </t>
  </si>
  <si>
    <t>المبيعات</t>
  </si>
  <si>
    <t>عدد اللترات المستلمة</t>
  </si>
  <si>
    <t>بيان حركة مخزون المحطة 95</t>
  </si>
  <si>
    <t>تبخير</t>
  </si>
  <si>
    <t>الكمية المفقودة او الزائدة للردود</t>
  </si>
  <si>
    <t>الكمية المفقودة او الزائدة</t>
  </si>
  <si>
    <t>في الرد الواحد</t>
  </si>
  <si>
    <t>بيان حركة مخزون المحطة ديزل</t>
  </si>
  <si>
    <t>الحضور</t>
  </si>
  <si>
    <t>مد كبير</t>
  </si>
  <si>
    <t>43</t>
  </si>
  <si>
    <t>مخزون 91</t>
  </si>
  <si>
    <t>cash</t>
  </si>
  <si>
    <t>Region</t>
  </si>
  <si>
    <t>Station No.</t>
  </si>
  <si>
    <t>Station Name</t>
  </si>
  <si>
    <t>Date</t>
  </si>
  <si>
    <t>كشف المعاينة</t>
  </si>
  <si>
    <t>Time</t>
  </si>
  <si>
    <t>hygiene record</t>
  </si>
  <si>
    <t>أجزاء المحطة</t>
  </si>
  <si>
    <t>ممتاز</t>
  </si>
  <si>
    <t>جيد</t>
  </si>
  <si>
    <t xml:space="preserve">مقبول </t>
  </si>
  <si>
    <t>ملاحظات</t>
  </si>
  <si>
    <t>Station Part</t>
  </si>
  <si>
    <t>المظلة</t>
  </si>
  <si>
    <t>الارضيات</t>
  </si>
  <si>
    <t xml:space="preserve">النافورة </t>
  </si>
  <si>
    <t xml:space="preserve">المرافق </t>
  </si>
  <si>
    <t>الحديقة</t>
  </si>
  <si>
    <t>مكتب المحطة</t>
  </si>
  <si>
    <t xml:space="preserve">النفايات </t>
  </si>
  <si>
    <t>الحمامات</t>
  </si>
  <si>
    <t>المسجد</t>
  </si>
  <si>
    <t>المدخل</t>
  </si>
  <si>
    <t>الصرافات</t>
  </si>
  <si>
    <t>بيانات الفاحص</t>
  </si>
  <si>
    <t>الاجراء المتخذ لحل للعيوب</t>
  </si>
  <si>
    <t>المسمى الوظيفي</t>
  </si>
  <si>
    <t xml:space="preserve">التوقيع </t>
  </si>
  <si>
    <t>Preview Revealed</t>
  </si>
  <si>
    <t>رقم المضخة</t>
  </si>
  <si>
    <t>التوقيع</t>
  </si>
  <si>
    <t xml:space="preserve">الرصيد الافتتاحي </t>
  </si>
  <si>
    <t xml:space="preserve">التقرير الشهري </t>
  </si>
  <si>
    <t>الرصيد الافتتاحي</t>
  </si>
  <si>
    <t xml:space="preserve">المفقودات </t>
  </si>
  <si>
    <t xml:space="preserve">مسدده </t>
  </si>
  <si>
    <t>غير مسدده</t>
  </si>
  <si>
    <t xml:space="preserve">التوريد </t>
  </si>
  <si>
    <t>اكراميات سائق بن دعجم</t>
  </si>
  <si>
    <t>ضبط المعايرة</t>
  </si>
  <si>
    <t xml:space="preserve"> الصيانة </t>
  </si>
  <si>
    <t>تمت</t>
  </si>
  <si>
    <t>لم تتم</t>
  </si>
  <si>
    <t xml:space="preserve">المبيعات </t>
  </si>
  <si>
    <t>المشتريات</t>
  </si>
  <si>
    <t>المصروفات</t>
  </si>
  <si>
    <t xml:space="preserve">عدد التصفيرة </t>
  </si>
  <si>
    <t xml:space="preserve">عمولا الشبكة </t>
  </si>
  <si>
    <t>اجمالي الفاقد</t>
  </si>
  <si>
    <t xml:space="preserve">الرواتب </t>
  </si>
  <si>
    <t>التبخير للرد الواحد</t>
  </si>
  <si>
    <t>الاجل</t>
  </si>
  <si>
    <t xml:space="preserve">المطلوب </t>
  </si>
  <si>
    <t xml:space="preserve">المسدد </t>
  </si>
  <si>
    <t xml:space="preserve">الرصيد الختامي </t>
  </si>
  <si>
    <t xml:space="preserve">الصافي </t>
  </si>
  <si>
    <t xml:space="preserve">إدارة المالية </t>
  </si>
  <si>
    <t xml:space="preserve">سعد محمد احمد لبدان </t>
  </si>
  <si>
    <t>العامر</t>
  </si>
  <si>
    <t xml:space="preserve">تقرير حادث </t>
  </si>
  <si>
    <t>نوع الحادث</t>
  </si>
  <si>
    <t>Accident Kind</t>
  </si>
  <si>
    <t>اسم المتسبب بالحادث</t>
  </si>
  <si>
    <t>Name of Accident cause</t>
  </si>
  <si>
    <t>رقم الهوية</t>
  </si>
  <si>
    <t>ID number</t>
  </si>
  <si>
    <t>الجنسية</t>
  </si>
  <si>
    <t>Nationality</t>
  </si>
  <si>
    <t>وقت الحادث</t>
  </si>
  <si>
    <t>Accident Time</t>
  </si>
  <si>
    <t>وصف الحادث</t>
  </si>
  <si>
    <t>Accident</t>
  </si>
  <si>
    <t>مقترحات لتجنب هذا النوع من الحوادث بالمستقبل</t>
  </si>
  <si>
    <t>Recommendation on to prevent this kind of accidents in the future</t>
  </si>
  <si>
    <t>ملخص تقرير الدفاع المدني او الشرطة</t>
  </si>
  <si>
    <t>Civil defense or police report summary</t>
  </si>
  <si>
    <t>Comments</t>
  </si>
  <si>
    <t>معد التقرير والتوقيع</t>
  </si>
  <si>
    <t>Report developed by / signature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</si>
  <si>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</si>
  <si>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</si>
  <si>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</si>
  <si>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</si>
  <si>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</si>
  <si>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</si>
  <si>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</si>
  <si>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</si>
  <si>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</si>
  <si>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كوكان</t>
  </si>
  <si>
    <t>كويك</t>
  </si>
  <si>
    <t xml:space="preserve">            تاريخ استلام العهده 2022/10/8</t>
  </si>
  <si>
    <t xml:space="preserve">العمليات </t>
  </si>
  <si>
    <t xml:space="preserve">تنبيه العاملين للقيام بذالك </t>
  </si>
  <si>
    <t xml:space="preserve">الارضيات </t>
  </si>
  <si>
    <t xml:space="preserve">الاتوميشن </t>
  </si>
  <si>
    <t>المنول</t>
  </si>
  <si>
    <t xml:space="preserve">تاريخ الانتهاء </t>
  </si>
  <si>
    <t xml:space="preserve">المظلة </t>
  </si>
  <si>
    <t>النافورة</t>
  </si>
  <si>
    <t xml:space="preserve">الحديقة </t>
  </si>
  <si>
    <t xml:space="preserve">مكتب المحطة </t>
  </si>
  <si>
    <t xml:space="preserve">التفايات </t>
  </si>
  <si>
    <t xml:space="preserve">مصلى النساء </t>
  </si>
  <si>
    <t>حمامات الرجال</t>
  </si>
  <si>
    <t>حمامات النساء</t>
  </si>
  <si>
    <t xml:space="preserve">المدخل </t>
  </si>
  <si>
    <t xml:space="preserve">الصرافات </t>
  </si>
  <si>
    <t>المخرج</t>
  </si>
  <si>
    <t xml:space="preserve">الملاحظات </t>
  </si>
  <si>
    <t xml:space="preserve"> ةع7</t>
  </si>
  <si>
    <t xml:space="preserve"> </t>
  </si>
  <si>
    <t>المدة الزمنية</t>
  </si>
  <si>
    <t>Period</t>
  </si>
  <si>
    <t xml:space="preserve">تفريغ الحاويات
Trash Collection
</t>
  </si>
  <si>
    <t xml:space="preserve">خضر حياة </t>
  </si>
  <si>
    <t>NO</t>
  </si>
  <si>
    <t xml:space="preserve">اسم الشركة </t>
  </si>
  <si>
    <t xml:space="preserve">الوقت والتاريخ </t>
  </si>
  <si>
    <t>بفت</t>
  </si>
  <si>
    <t>الاحد</t>
  </si>
  <si>
    <t>الاثنين</t>
  </si>
  <si>
    <t>الجمعه</t>
  </si>
  <si>
    <t>الأخضر</t>
  </si>
  <si>
    <t>الأحمر</t>
  </si>
  <si>
    <t>الإجمالي بالريال</t>
  </si>
  <si>
    <t>النقدي</t>
  </si>
  <si>
    <t>نقاط البيع</t>
  </si>
  <si>
    <t>م1ل6 يناير</t>
  </si>
  <si>
    <t>الإجمالي</t>
  </si>
  <si>
    <t>المده</t>
  </si>
  <si>
    <t>م 26ل12/31</t>
  </si>
  <si>
    <t>شهر فبراير   2023</t>
  </si>
  <si>
    <t>الصـــــــيــــــــــانة</t>
  </si>
  <si>
    <t>شهر فبراير2032</t>
  </si>
  <si>
    <t>شهر فبراير2023</t>
  </si>
  <si>
    <t>ML</t>
  </si>
  <si>
    <t>عبدالله البصير</t>
  </si>
  <si>
    <t>}</t>
  </si>
  <si>
    <t>المعايرة قبل الضبط</t>
  </si>
  <si>
    <t xml:space="preserve">            تاريخ استلام العهده </t>
  </si>
  <si>
    <t>تاريخ تسليم العهده /</t>
  </si>
  <si>
    <t>0</t>
  </si>
  <si>
    <t xml:space="preserve">الدهانات </t>
  </si>
  <si>
    <t>كشف المضخات</t>
  </si>
  <si>
    <t xml:space="preserve">كشف المضخات </t>
  </si>
  <si>
    <t>الدهانات</t>
  </si>
  <si>
    <t xml:space="preserve">عبدالله البصير </t>
  </si>
  <si>
    <t>طفايات الحريق</t>
  </si>
  <si>
    <t xml:space="preserve">مسدس رقم 4ديزل  </t>
  </si>
  <si>
    <t>يحتاج صيانه من برا ورقم 9 من برا</t>
  </si>
  <si>
    <t xml:space="preserve">طفايات الحريق باقي على انتهاء ريخها 3 أيام </t>
  </si>
  <si>
    <t>في تهريب بسيط</t>
  </si>
  <si>
    <t>كويك العامر</t>
  </si>
  <si>
    <t xml:space="preserve">نور نبي </t>
  </si>
  <si>
    <t xml:space="preserve">حسين </t>
  </si>
  <si>
    <t xml:space="preserve">منا </t>
  </si>
  <si>
    <t xml:space="preserve">كوكان </t>
  </si>
  <si>
    <t xml:space="preserve">نازرول </t>
  </si>
  <si>
    <t xml:space="preserve">مهدي </t>
  </si>
  <si>
    <t>كبير</t>
  </si>
  <si>
    <t xml:space="preserve">إبراهيم </t>
  </si>
  <si>
    <t>منير</t>
  </si>
  <si>
    <t>الأسبوع الأول</t>
  </si>
  <si>
    <t xml:space="preserve">الأسبوع الثاني </t>
  </si>
  <si>
    <t>الأسبوع الثالث</t>
  </si>
  <si>
    <t>الأسبوع الرابع</t>
  </si>
  <si>
    <t>الأسبوع الخامس</t>
  </si>
  <si>
    <t>المنطقA232:K257ة</t>
  </si>
  <si>
    <t xml:space="preserve"> التاريخ </t>
  </si>
  <si>
    <t xml:space="preserve"> التاريخ  </t>
  </si>
  <si>
    <t xml:space="preserve">  التاريخ</t>
  </si>
  <si>
    <t xml:space="preserve">  التاريخ     </t>
  </si>
  <si>
    <t>شهر مايو</t>
  </si>
  <si>
    <t xml:space="preserve">9AM               5/1               </t>
  </si>
  <si>
    <t>9AM               5/2</t>
  </si>
  <si>
    <t>9AM              5/3</t>
  </si>
  <si>
    <t>9AM               5/4</t>
  </si>
  <si>
    <t>9AM               5/5</t>
  </si>
  <si>
    <t>9AM               5/6</t>
  </si>
  <si>
    <t>9AM               5/7</t>
  </si>
  <si>
    <t>9AM               5/9</t>
  </si>
  <si>
    <t>9AM               5/8</t>
  </si>
  <si>
    <t>9AM               5/10</t>
  </si>
  <si>
    <t>9AM               5/11</t>
  </si>
  <si>
    <t>9AM               5/12</t>
  </si>
  <si>
    <t>9AM               5/13</t>
  </si>
  <si>
    <t>9AM               5/14</t>
  </si>
  <si>
    <t>9AM               5/15</t>
  </si>
  <si>
    <t>9AM               5/16</t>
  </si>
  <si>
    <t>9AM               5/17</t>
  </si>
  <si>
    <t>9AM               5/18</t>
  </si>
  <si>
    <t>9AM               5/19</t>
  </si>
  <si>
    <t>9AM               5/20</t>
  </si>
  <si>
    <t>9AM               5/21</t>
  </si>
  <si>
    <t>9AM               5/22</t>
  </si>
  <si>
    <t>9AM               5/23</t>
  </si>
  <si>
    <t>9AM               5/24</t>
  </si>
  <si>
    <t>9AM               5/25</t>
  </si>
  <si>
    <t>9AM               5/26</t>
  </si>
  <si>
    <t>9AM               5/27</t>
  </si>
  <si>
    <t>9AM               5/28</t>
  </si>
  <si>
    <t>9AM               5/29</t>
  </si>
  <si>
    <t>9AM               5/30</t>
  </si>
  <si>
    <t>9AM               5/31</t>
  </si>
  <si>
    <t>مايو</t>
  </si>
  <si>
    <t xml:space="preserve">شهر مايو   2023 </t>
  </si>
  <si>
    <t>تقييم العمال شهر مايو</t>
  </si>
  <si>
    <t>شهر مايو2023</t>
  </si>
  <si>
    <t xml:space="preserve">                قيمة العهده  </t>
  </si>
  <si>
    <t>توريد يوم 5/1 رقم 95</t>
  </si>
  <si>
    <t>مبيعات يوم 5/1</t>
  </si>
  <si>
    <t>تبخير يوم 5/1 لعدد 4 ردود</t>
  </si>
  <si>
    <t xml:space="preserve">نوع البنزين </t>
  </si>
  <si>
    <t>تم</t>
  </si>
  <si>
    <t>توريد يوم 5/2 رقم 96</t>
  </si>
  <si>
    <t>توريد يوم 5/2 رقم 47</t>
  </si>
  <si>
    <t>مبيعات يوم 5/2</t>
  </si>
  <si>
    <t>توريد يوم 5/2 رقم 18</t>
  </si>
  <si>
    <t>مبعات يوم 5/2</t>
  </si>
  <si>
    <t>ديزل</t>
  </si>
  <si>
    <t>توريد يوم 5/3 رقم 97</t>
  </si>
  <si>
    <t>مبيعات يوم 5/3</t>
  </si>
  <si>
    <t>توريد يوم 5/4 رقم 98</t>
  </si>
  <si>
    <t>مبيعات يوم 5/4</t>
  </si>
  <si>
    <t>توريد يوم 5/4 رقم 48</t>
  </si>
  <si>
    <t>مبيعات يوم 5/5</t>
  </si>
  <si>
    <t xml:space="preserve">كويك العامر </t>
  </si>
  <si>
    <t>ص 8</t>
  </si>
  <si>
    <t xml:space="preserve">تجديد مداخل الكافيهات </t>
  </si>
  <si>
    <t xml:space="preserve">والرصيف جنب النافوره </t>
  </si>
  <si>
    <t>توريد يوم 5/6 رقم 99</t>
  </si>
  <si>
    <t>مبيعات يوم 5/6</t>
  </si>
  <si>
    <t xml:space="preserve">مسدس رقم 4 اخضريوجد تهريب بسيط </t>
  </si>
  <si>
    <t>مسدس رقم 9 اخضر يوجد تهريب من برا</t>
  </si>
  <si>
    <t>مسدس رقم 5 احمر  يوجد تهريب بسيط</t>
  </si>
  <si>
    <t>مسدس رقم 4 ديزل يوجد تهريب داخلي وخارجي</t>
  </si>
  <si>
    <t>توريد يوم 5/7 رقم 100</t>
  </si>
  <si>
    <t>مبيعات يوم 5/7</t>
  </si>
  <si>
    <t>توريد يوم 5/7 رقم 49</t>
  </si>
  <si>
    <t>11-10</t>
  </si>
  <si>
    <t>11-11</t>
  </si>
  <si>
    <t>إبراهيم</t>
  </si>
  <si>
    <t>حسسين</t>
  </si>
  <si>
    <t>نور نبي</t>
  </si>
  <si>
    <t xml:space="preserve">تم </t>
  </si>
  <si>
    <t>كامري</t>
  </si>
  <si>
    <t>ابيض</t>
  </si>
  <si>
    <t>د ن ن 9574</t>
  </si>
  <si>
    <t>احمر</t>
  </si>
  <si>
    <t>توريد يوم 5/8 رقم 101</t>
  </si>
  <si>
    <t>مبيعات يوم 5/8</t>
  </si>
  <si>
    <t>مبيعات يوم 5/9</t>
  </si>
  <si>
    <t>توريد يوم 5/9 رقم 102</t>
  </si>
  <si>
    <t>تم السداد</t>
  </si>
  <si>
    <t>تحويل</t>
  </si>
  <si>
    <t>التحويل باسم محمد إبراهيم احمد ال طالع</t>
  </si>
  <si>
    <t>فورد جيب</t>
  </si>
  <si>
    <t>فضي</t>
  </si>
  <si>
    <t>ب و ح 1341</t>
  </si>
  <si>
    <t>لم يتم السداد</t>
  </si>
  <si>
    <t>شنجان</t>
  </si>
  <si>
    <t>رمادي</t>
  </si>
  <si>
    <t>ر ب ر 1467</t>
  </si>
  <si>
    <t>اخضر</t>
  </si>
  <si>
    <t>دورة المياه</t>
  </si>
  <si>
    <t>اصلاح شطاف في دورة مياه المسجد</t>
  </si>
  <si>
    <t xml:space="preserve">العامر </t>
  </si>
  <si>
    <t>توحيد</t>
  </si>
  <si>
    <t>20738..78</t>
  </si>
  <si>
    <t>مبيعات يوم 5/10</t>
  </si>
  <si>
    <t>توريد يوم 5/10 رقم 50</t>
  </si>
  <si>
    <t>توريد يوم 5/10 رقم 19</t>
  </si>
  <si>
    <t>تبخير يوم 5/10 لعدد 6 ردود</t>
  </si>
  <si>
    <t xml:space="preserve"> كويك /العامر</t>
  </si>
  <si>
    <t>التاريخ/26/04/23</t>
  </si>
  <si>
    <t xml:space="preserve">  التاريخ 10/5/2023</t>
  </si>
  <si>
    <t>توريد يوم 5/11 رقم 103</t>
  </si>
  <si>
    <t>توريد يوم 5/11 رقم 104</t>
  </si>
  <si>
    <t>مبيعات يوم 5/11</t>
  </si>
  <si>
    <t>مبيعات يوم 5/12</t>
  </si>
  <si>
    <t>توريد يوم 5/12 رقم 51</t>
  </si>
  <si>
    <t>وايت</t>
  </si>
  <si>
    <t xml:space="preserve">احمر </t>
  </si>
  <si>
    <t xml:space="preserve"> ب ا ب 7985</t>
  </si>
  <si>
    <t xml:space="preserve">النافوره </t>
  </si>
  <si>
    <t xml:space="preserve">تم  اليوم نظافة النافوره </t>
  </si>
  <si>
    <t xml:space="preserve">توحيد </t>
  </si>
  <si>
    <t>ليات الطرمبات</t>
  </si>
  <si>
    <t xml:space="preserve">فهيم </t>
  </si>
  <si>
    <t xml:space="preserve">تجديد بوية ارضيه المظله ومسدس اخضر  رقم 4 يحتاج صيانه </t>
  </si>
  <si>
    <t xml:space="preserve">تجديد مداخل الكافيهات  والرصيف جنب النافوره </t>
  </si>
  <si>
    <t xml:space="preserve">تم نظافتها اليوم </t>
  </si>
  <si>
    <t>واحده من الجلسات فيها تحتاج صيانه</t>
  </si>
  <si>
    <t>توريد يوم 5/13 رقم 105</t>
  </si>
  <si>
    <t>مبيعات يوم 5/13</t>
  </si>
  <si>
    <t>توريد يوم 5/14 رقم 106</t>
  </si>
  <si>
    <t>مبيعات يوم 5/14</t>
  </si>
  <si>
    <t xml:space="preserve">عبد الرحيم </t>
  </si>
  <si>
    <t>توحيدن</t>
  </si>
  <si>
    <t>توريد يوم 5/15 رقم 107</t>
  </si>
  <si>
    <t>مبيعات يوم 5/15</t>
  </si>
  <si>
    <t>توريد يوم 5/15 رقم 52</t>
  </si>
  <si>
    <t>مسدس رقم 4اخضر</t>
  </si>
  <si>
    <t>تم تركيب كوع  جديد طرمبه رقم 2مسدس اخضر رقم 4</t>
  </si>
  <si>
    <t>حمامات المسجد</t>
  </si>
  <si>
    <t>تغيير الفاصل المتهالك وتركيب فاصل جديد طرمبه رقم 6لي رقم 11</t>
  </si>
  <si>
    <t xml:space="preserve">افلون </t>
  </si>
  <si>
    <t>8163 ب و و</t>
  </si>
  <si>
    <t xml:space="preserve">26/04/2023التاريخ </t>
  </si>
  <si>
    <t xml:space="preserve">01/05/2023التاريخ </t>
  </si>
  <si>
    <t>توريد يوم 5/16 رقم 108</t>
  </si>
  <si>
    <t>مبيعات يوم 5/16</t>
  </si>
  <si>
    <t>توريد يوم 5/16 رقم 19</t>
  </si>
  <si>
    <t>اكسنت</t>
  </si>
  <si>
    <t>3369 د ك ح</t>
  </si>
  <si>
    <t xml:space="preserve">اخضر </t>
  </si>
  <si>
    <t>1705/23</t>
  </si>
  <si>
    <t>التحويل باسم عمار يحي احمد عسيري</t>
  </si>
  <si>
    <t>تم فك مغلقه باب من أبواب حمامات المسجد</t>
  </si>
  <si>
    <t xml:space="preserve">الحديقه </t>
  </si>
  <si>
    <t xml:space="preserve">اصلاح كرسي في الحديقه </t>
  </si>
  <si>
    <t xml:space="preserve"> تم تغيير راس في النافوره </t>
  </si>
  <si>
    <t>مبيعات يوم 5/17</t>
  </si>
  <si>
    <t>توريد يوم 5/17 رقم 53</t>
  </si>
  <si>
    <t>تم دفعها كاش</t>
  </si>
  <si>
    <t>تم دفعها من صاحب الوايت في المحطه</t>
  </si>
  <si>
    <t>مبيعات يوم 5/18</t>
  </si>
  <si>
    <t>تبخير يوم 5/18 لعدد 18 رد</t>
  </si>
  <si>
    <t>توريد يوم 5/19 رقم 109</t>
  </si>
  <si>
    <t>توريد يوم 5/19 رقم 110</t>
  </si>
  <si>
    <t>مبيعات يوم  5/19</t>
  </si>
  <si>
    <t>مبيعات يوم 5/19</t>
  </si>
  <si>
    <t>كويك  1</t>
  </si>
  <si>
    <t>تجديد بوية أرضية المظله</t>
  </si>
  <si>
    <t>تجديد مداخل الكافيهات والرصيف جنب النافوره</t>
  </si>
  <si>
    <t xml:space="preserve">2023/05/19 التاريخ  </t>
  </si>
  <si>
    <t>01/05/2023 التاريخ</t>
  </si>
  <si>
    <t>توريد يوم 5/20 رقم 111</t>
  </si>
  <si>
    <t>مبيعات يوم 5/20</t>
  </si>
  <si>
    <t>توريد يوم 5/20 رقم 54</t>
  </si>
  <si>
    <t>توريد يوم 5/21 رقم 112</t>
  </si>
  <si>
    <t>مبيعات يوم 5/21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</si>
</sst>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.00\ _ر_._س_._‏_-;\-* #,##0.00\ _ر_._س_._‏_-;_-* &quot;-&quot;??\ _ر_._س_._‏_-;_-@_-"/>
    <numFmt numFmtId="166" formatCode="0;[Red]0"/>
    <numFmt numFmtId="167" formatCode="yyyy\-mm\-dd;@"/>
    <numFmt numFmtId="168" formatCode="[$-1010000]yyyy/mm/dd;@"/>
  </numFmts>
  <fonts count="78" x14ac:knownFonts="1">
    <font>
      <sz val="11"/>
      <color theme="1"/>
      <name val="Arial"/>
      <family val="2"/>
      <charset val="178"/>
      <scheme val="minor"/>
    </font>
    <font>
      <b/>
      <sz val="14"/>
      <color rgb="FFFFFF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6"/>
      <color theme="0"/>
      <name val="Arial"/>
      <family val="2"/>
      <scheme val="minor"/>
    </font>
    <font>
      <sz val="2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0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  <charset val="178"/>
      <scheme val="minor"/>
    </font>
    <font>
      <sz val="12"/>
      <color theme="1"/>
      <name val="Arial"/>
      <family val="2"/>
      <scheme val="minor"/>
    </font>
    <font>
      <b/>
      <sz val="9"/>
      <color rgb="FF001F5F"/>
      <name val="Arial"/>
      <family val="2"/>
    </font>
    <font>
      <b/>
      <sz val="12"/>
      <color rgb="FF001F5F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charset val="178"/>
      <scheme val="minor"/>
    </font>
    <font>
      <sz val="28"/>
      <color theme="0"/>
      <name val="Arial"/>
      <family val="2"/>
      <scheme val="minor"/>
    </font>
    <font>
      <sz val="16"/>
      <color rgb="FF000000"/>
      <name val="Arial"/>
      <family val="2"/>
    </font>
    <font>
      <sz val="16"/>
      <color theme="1"/>
      <name val="Arial"/>
      <family val="2"/>
      <charset val="178"/>
      <scheme val="minor"/>
    </font>
    <font>
      <b/>
      <sz val="26"/>
      <color theme="0"/>
      <name val="Arial"/>
      <family val="2"/>
      <scheme val="minor"/>
    </font>
    <font>
      <sz val="20"/>
      <color theme="1"/>
      <name val="Arial"/>
      <family val="2"/>
    </font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24"/>
      <color theme="1"/>
      <name val="DecoType Naskh Extensions"/>
      <charset val="178"/>
    </font>
    <font>
      <b/>
      <sz val="20"/>
      <color theme="1"/>
      <name val="DecoType Naskh Extensions"/>
      <charset val="178"/>
    </font>
    <font>
      <b/>
      <sz val="24"/>
      <color theme="1"/>
      <name val="DecoType Naskh"/>
      <charset val="178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1"/>
      <color theme="5" tint="-0.499984740745262"/>
      <name val="Arial"/>
      <family val="2"/>
      <scheme val="minor"/>
    </font>
    <font>
      <sz val="18"/>
      <color theme="1"/>
      <name val="Arial"/>
      <family val="2"/>
    </font>
    <font>
      <b/>
      <sz val="14"/>
      <color theme="1"/>
      <name val="Baskerville Old Face"/>
      <family val="1"/>
    </font>
    <font>
      <sz val="18"/>
      <color theme="1"/>
      <name val="Arial"/>
      <family val="2"/>
      <charset val="178"/>
      <scheme val="minor"/>
    </font>
    <font>
      <b/>
      <sz val="14"/>
      <color theme="1"/>
      <name val="Arial"/>
      <family val="2"/>
    </font>
    <font>
      <sz val="8"/>
      <name val="Arial"/>
      <family val="2"/>
      <charset val="178"/>
      <scheme val="minor"/>
    </font>
    <font>
      <b/>
      <u/>
      <sz val="14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2"/>
      <color theme="1" tint="0.499984740745262"/>
      <name val="Arial"/>
      <family val="2"/>
      <scheme val="minor"/>
    </font>
    <font>
      <sz val="12"/>
      <color theme="1" tint="0.499984740745262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b/>
      <sz val="10"/>
      <color theme="1" tint="0.499984740745262"/>
      <name val="Arial"/>
      <family val="2"/>
      <scheme val="minor"/>
    </font>
    <font>
      <sz val="24"/>
      <color theme="1"/>
      <name val="Arial"/>
      <family val="2"/>
      <charset val="178"/>
      <scheme val="minor"/>
    </font>
    <font>
      <sz val="26"/>
      <color theme="1"/>
      <name val="Arial"/>
      <family val="2"/>
      <charset val="178"/>
      <scheme val="minor"/>
    </font>
    <font>
      <sz val="28"/>
      <color theme="1"/>
      <name val="Arial"/>
      <family val="2"/>
      <charset val="178"/>
      <scheme val="minor"/>
    </font>
    <font>
      <b/>
      <sz val="12"/>
      <color theme="0"/>
      <name val="Arial"/>
      <family val="2"/>
      <scheme val="minor"/>
    </font>
    <font>
      <b/>
      <sz val="12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charset val="178"/>
      <scheme val="minor"/>
    </font>
    <font>
      <sz val="16"/>
      <color theme="1"/>
      <name val="Arial"/>
      <family val="2"/>
    </font>
    <font>
      <b/>
      <sz val="22"/>
      <color theme="1"/>
      <name val="Arial"/>
      <family val="2"/>
      <scheme val="minor"/>
    </font>
    <font>
      <sz val="10"/>
      <color theme="1"/>
      <name val="Times New Roman"/>
      <family val="1"/>
    </font>
    <font>
      <b/>
      <sz val="12"/>
      <color theme="4" tint="-0.499984740745262"/>
      <name val="Arial"/>
      <family val="2"/>
      <scheme val="minor"/>
    </font>
    <font>
      <sz val="21"/>
      <color theme="4" tint="-0.499984740745262"/>
      <name val="Times New Roman"/>
      <family val="1"/>
    </font>
    <font>
      <sz val="11"/>
      <color rgb="FF001F5F"/>
      <name val="Arial"/>
      <family val="2"/>
    </font>
    <font>
      <sz val="9"/>
      <color rgb="FF001F5F"/>
      <name val="Arial"/>
      <family val="2"/>
    </font>
    <font>
      <b/>
      <sz val="12"/>
      <color theme="4" tint="-0.499984740745262"/>
      <name val="Arial"/>
      <family val="2"/>
    </font>
    <font>
      <b/>
      <sz val="11"/>
      <color theme="4" tint="-0.499984740745262"/>
      <name val="Arial"/>
      <family val="2"/>
      <scheme val="minor"/>
    </font>
    <font>
      <b/>
      <sz val="12"/>
      <color rgb="FF001F5F"/>
      <name val="Calibri"/>
      <family val="2"/>
    </font>
    <font>
      <b/>
      <sz val="20"/>
      <color theme="1"/>
      <name val="Arial"/>
      <family val="2"/>
      <scheme val="minor"/>
    </font>
    <font>
      <b/>
      <sz val="28"/>
      <color rgb="FF001F5F"/>
      <name val="Calibri"/>
      <family val="2"/>
      <charset val="178"/>
    </font>
    <font>
      <b/>
      <sz val="28"/>
      <color rgb="FF001F5F"/>
      <name val="Arial"/>
      <family val="2"/>
      <charset val="178"/>
    </font>
    <font>
      <b/>
      <sz val="9"/>
      <color rgb="FF001F5F"/>
      <name val="Calibri"/>
      <family val="2"/>
    </font>
    <font>
      <b/>
      <sz val="11"/>
      <color theme="4" tint="-0.249977111117893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charset val="178"/>
    </font>
    <font>
      <i/>
      <sz val="14"/>
      <color theme="1"/>
      <name val="Arial"/>
      <family val="2"/>
      <scheme val="minor"/>
    </font>
    <font>
      <b/>
      <sz val="36"/>
      <color rgb="FF001F5F"/>
      <name val="Calibri"/>
      <family val="2"/>
      <charset val="178"/>
    </font>
    <font>
      <b/>
      <sz val="36"/>
      <color rgb="FF001F5F"/>
      <name val="Arial"/>
      <family val="2"/>
      <charset val="178"/>
    </font>
    <font>
      <b/>
      <sz val="11"/>
      <color theme="0" tint="-0.14999847407452621"/>
      <name val="Arial"/>
      <family val="2"/>
      <scheme val="minor"/>
    </font>
    <font>
      <b/>
      <sz val="26"/>
      <color rgb="FF001F5F"/>
      <name val="Arial"/>
      <family val="2"/>
    </font>
    <font>
      <u/>
      <sz val="11"/>
      <color theme="10"/>
      <name val="Arial"/>
      <family val="2"/>
      <charset val="178"/>
      <scheme val="minor"/>
    </font>
    <font>
      <u/>
      <sz val="14"/>
      <color theme="10"/>
      <name val="Arial"/>
      <family val="2"/>
      <charset val="178"/>
      <scheme val="minor"/>
    </font>
    <font>
      <i/>
      <sz val="12"/>
      <color rgb="FF001F5F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A5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theme="5" tint="0.399975585192419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5" tint="0.3999755851924192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theme="5" tint="0.3999755851924192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5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FF8001"/>
      </left>
      <right style="thin">
        <color rgb="FFFF8001"/>
      </right>
      <top style="thin">
        <color rgb="FFFF8001"/>
      </top>
      <bottom style="thin">
        <color rgb="FFFF8001"/>
      </bottom>
      <diagonal/>
    </border>
    <border>
      <left/>
      <right/>
      <top style="thin">
        <color rgb="FFFF8001"/>
      </top>
      <bottom/>
      <diagonal/>
    </border>
    <border>
      <left style="thin">
        <color rgb="FFFF8001"/>
      </left>
      <right style="thin">
        <color rgb="FFFF8001"/>
      </right>
      <top style="thin">
        <color rgb="FFFF800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double">
        <color rgb="FF1F4E79"/>
      </bottom>
      <diagonal/>
    </border>
    <border>
      <left style="medium">
        <color rgb="FF1F4E79"/>
      </left>
      <right style="thick">
        <color rgb="FF1F4E79"/>
      </right>
      <top style="medium">
        <color rgb="FF1F4E79"/>
      </top>
      <bottom style="double">
        <color rgb="FF1F4E79"/>
      </bottom>
      <diagonal/>
    </border>
    <border>
      <left style="medium">
        <color rgb="FF1F4E79"/>
      </left>
      <right style="medium">
        <color rgb="FF1F4E79"/>
      </right>
      <top/>
      <bottom style="double">
        <color rgb="FF1F4E79"/>
      </bottom>
      <diagonal/>
    </border>
    <border>
      <left style="medium">
        <color rgb="FF1F4E79"/>
      </left>
      <right style="thick">
        <color rgb="FF1F4E79"/>
      </right>
      <top/>
      <bottom style="double">
        <color rgb="FF1F4E79"/>
      </bottom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thick">
        <color rgb="FF1F4E79"/>
      </right>
      <top/>
      <bottom style="medium">
        <color rgb="FF1F4E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ck">
        <color rgb="FF1F4E79"/>
      </left>
      <right style="medium">
        <color rgb="FF1F4E79"/>
      </right>
      <top style="medium">
        <color rgb="FF1F4E79"/>
      </top>
      <bottom style="double">
        <color rgb="FF1F4E79"/>
      </bottom>
      <diagonal/>
    </border>
    <border>
      <left style="thick">
        <color rgb="FF1F4E79"/>
      </left>
      <right style="medium">
        <color rgb="FF1F4E79"/>
      </right>
      <top/>
      <bottom style="double">
        <color rgb="FF1F4E79"/>
      </bottom>
      <diagonal/>
    </border>
    <border>
      <left style="thick">
        <color rgb="FF1F4E79"/>
      </left>
      <right style="medium">
        <color rgb="FF1F4E79"/>
      </right>
      <top/>
      <bottom style="medium">
        <color rgb="FF1F4E79"/>
      </bottom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indexed="64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double">
        <color rgb="FF1F4E79"/>
      </bottom>
      <diagonal/>
    </border>
    <border>
      <left/>
      <right style="medium">
        <color rgb="FF1F4E79"/>
      </right>
      <top/>
      <bottom style="double">
        <color rgb="FF1F4E7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medium">
        <color auto="1"/>
      </right>
      <top style="thin">
        <color theme="7"/>
      </top>
      <bottom style="thin">
        <color theme="7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 style="medium">
        <color theme="8" tint="-0.499984740745262"/>
      </left>
      <right style="medium">
        <color theme="8" tint="-0.499984740745262"/>
      </right>
      <top style="thin">
        <color indexed="64"/>
      </top>
      <bottom style="medium">
        <color theme="8" tint="-0.499984740745262"/>
      </bottom>
      <diagonal/>
    </border>
  </borders>
  <cellStyleXfs count="9">
    <xf numFmtId="0" fontId="0" fillId="0" borderId="0"/>
    <xf numFmtId="0" fontId="32" fillId="17" borderId="0" applyNumberFormat="0" applyBorder="0" applyAlignment="0" applyProtection="0"/>
    <xf numFmtId="0" fontId="33" fillId="19" borderId="0" applyNumberFormat="0" applyBorder="0" applyAlignment="0" applyProtection="0"/>
    <xf numFmtId="165" fontId="32" fillId="0" borderId="0" applyFont="0" applyFill="0" applyBorder="0" applyAlignment="0" applyProtection="0"/>
    <xf numFmtId="0" fontId="27" fillId="0" borderId="0"/>
    <xf numFmtId="0" fontId="52" fillId="23" borderId="54" applyNumberFormat="0" applyAlignment="0" applyProtection="0"/>
    <xf numFmtId="9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75" fillId="0" borderId="0" applyNumberFormat="0" applyFill="0" applyBorder="0" applyAlignment="0" applyProtection="0"/>
  </cellStyleXfs>
  <cellXfs count="682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6" borderId="0" xfId="0" applyFill="1"/>
    <xf numFmtId="0" fontId="2" fillId="8" borderId="7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textRotation="90"/>
    </xf>
    <xf numFmtId="0" fontId="0" fillId="9" borderId="0" xfId="0" applyFill="1"/>
    <xf numFmtId="0" fontId="3" fillId="10" borderId="8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5" fillId="4" borderId="0" xfId="0" applyFont="1" applyFill="1"/>
    <xf numFmtId="0" fontId="3" fillId="0" borderId="0" xfId="0" applyFont="1"/>
    <xf numFmtId="0" fontId="8" fillId="0" borderId="0" xfId="0" applyFont="1" applyAlignment="1">
      <alignment vertical="center"/>
    </xf>
    <xf numFmtId="49" fontId="11" fillId="12" borderId="8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49" fontId="11" fillId="0" borderId="8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9" fontId="12" fillId="0" borderId="36" xfId="0" applyNumberFormat="1" applyFont="1" applyBorder="1" applyAlignment="1">
      <alignment horizontal="centerContinuous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8" fillId="13" borderId="8" xfId="0" applyFont="1" applyFill="1" applyBorder="1" applyAlignment="1">
      <alignment horizontal="center" vertical="center" wrapText="1" readingOrder="2"/>
    </xf>
    <xf numFmtId="0" fontId="19" fillId="13" borderId="8" xfId="0" applyFont="1" applyFill="1" applyBorder="1" applyAlignment="1">
      <alignment horizontal="center" vertical="center" wrapText="1" readingOrder="2"/>
    </xf>
    <xf numFmtId="0" fontId="23" fillId="12" borderId="8" xfId="0" applyFont="1" applyFill="1" applyBorder="1" applyAlignment="1">
      <alignment horizontal="center" vertical="center" wrapText="1"/>
    </xf>
    <xf numFmtId="0" fontId="17" fillId="0" borderId="0" xfId="0" applyFont="1"/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11" borderId="44" xfId="0" applyFont="1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0" fontId="1" fillId="11" borderId="4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vertical="center" wrapText="1" readingOrder="2"/>
    </xf>
    <xf numFmtId="0" fontId="2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0" fillId="18" borderId="46" xfId="0" applyFont="1" applyFill="1" applyBorder="1" applyAlignment="1">
      <alignment vertical="center"/>
    </xf>
    <xf numFmtId="0" fontId="3" fillId="0" borderId="5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0" fillId="0" borderId="52" xfId="0" applyBorder="1"/>
    <xf numFmtId="0" fontId="34" fillId="20" borderId="0" xfId="2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" fillId="14" borderId="50" xfId="1" applyFont="1" applyFill="1" applyBorder="1" applyAlignment="1">
      <alignment vertical="center"/>
    </xf>
    <xf numFmtId="0" fontId="0" fillId="5" borderId="0" xfId="0" applyFill="1"/>
    <xf numFmtId="0" fontId="36" fillId="0" borderId="7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2" fillId="0" borderId="0" xfId="0" applyFont="1"/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0" xfId="0" applyFont="1"/>
    <xf numFmtId="0" fontId="2" fillId="0" borderId="0" xfId="0" applyFont="1" applyAlignment="1">
      <alignment vertical="center"/>
    </xf>
    <xf numFmtId="0" fontId="0" fillId="21" borderId="0" xfId="0" applyFill="1"/>
    <xf numFmtId="0" fontId="2" fillId="0" borderId="0" xfId="0" applyFont="1" applyAlignment="1">
      <alignment horizontal="center" vertical="center"/>
    </xf>
    <xf numFmtId="2" fontId="41" fillId="0" borderId="51" xfId="0" applyNumberFormat="1" applyFont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/>
    </xf>
    <xf numFmtId="0" fontId="3" fillId="21" borderId="8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14" fontId="14" fillId="4" borderId="40" xfId="0" applyNumberFormat="1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5" fillId="0" borderId="0" xfId="0" applyFont="1" applyAlignment="1">
      <alignment horizontal="center" vertical="center"/>
    </xf>
    <xf numFmtId="14" fontId="11" fillId="3" borderId="5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1" fillId="0" borderId="8" xfId="0" applyNumberFormat="1" applyFont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14" fontId="11" fillId="4" borderId="8" xfId="0" applyNumberFormat="1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4" fontId="11" fillId="3" borderId="8" xfId="0" applyNumberFormat="1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14" fontId="11" fillId="0" borderId="8" xfId="0" applyNumberFormat="1" applyFont="1" applyBorder="1"/>
    <xf numFmtId="0" fontId="11" fillId="0" borderId="8" xfId="0" applyFont="1" applyBorder="1"/>
    <xf numFmtId="0" fontId="11" fillId="0" borderId="9" xfId="0" applyFont="1" applyBorder="1"/>
    <xf numFmtId="14" fontId="11" fillId="4" borderId="8" xfId="0" applyNumberFormat="1" applyFont="1" applyFill="1" applyBorder="1"/>
    <xf numFmtId="0" fontId="11" fillId="4" borderId="8" xfId="0" applyFont="1" applyFill="1" applyBorder="1"/>
    <xf numFmtId="0" fontId="11" fillId="4" borderId="9" xfId="0" applyFont="1" applyFill="1" applyBorder="1"/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textRotation="90" wrapText="1"/>
    </xf>
    <xf numFmtId="0" fontId="49" fillId="11" borderId="24" xfId="0" applyFont="1" applyFill="1" applyBorder="1" applyAlignment="1">
      <alignment horizontal="center" vertical="center"/>
    </xf>
    <xf numFmtId="0" fontId="49" fillId="11" borderId="26" xfId="0" applyFont="1" applyFill="1" applyBorder="1" applyAlignment="1">
      <alignment horizontal="center" vertical="center"/>
    </xf>
    <xf numFmtId="0" fontId="49" fillId="11" borderId="27" xfId="0" applyFont="1" applyFill="1" applyBorder="1" applyAlignment="1">
      <alignment horizontal="center" vertical="center"/>
    </xf>
    <xf numFmtId="0" fontId="49" fillId="11" borderId="8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0" fillId="4" borderId="0" xfId="0" applyFill="1"/>
    <xf numFmtId="0" fontId="0" fillId="0" borderId="8" xfId="0" applyBorder="1" applyAlignment="1">
      <alignment horizontal="center" vertical="center"/>
    </xf>
    <xf numFmtId="0" fontId="0" fillId="22" borderId="0" xfId="0" applyFill="1"/>
    <xf numFmtId="0" fontId="51" fillId="11" borderId="0" xfId="0" applyFont="1" applyFill="1" applyAlignment="1">
      <alignment horizontal="center" vertical="center"/>
    </xf>
    <xf numFmtId="0" fontId="21" fillId="0" borderId="0" xfId="0" applyFont="1"/>
    <xf numFmtId="0" fontId="42" fillId="0" borderId="0" xfId="0" applyFont="1" applyAlignment="1">
      <alignment vertical="center"/>
    </xf>
    <xf numFmtId="0" fontId="0" fillId="0" borderId="0" xfId="0" quotePrefix="1"/>
    <xf numFmtId="0" fontId="52" fillId="23" borderId="54" xfId="5"/>
    <xf numFmtId="0" fontId="21" fillId="22" borderId="0" xfId="0" applyFont="1" applyFill="1"/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/>
    </xf>
    <xf numFmtId="166" fontId="2" fillId="0" borderId="8" xfId="6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9" fontId="0" fillId="0" borderId="0" xfId="0" applyNumberFormat="1"/>
    <xf numFmtId="0" fontId="14" fillId="4" borderId="11" xfId="0" applyFont="1" applyFill="1" applyBorder="1" applyAlignment="1">
      <alignment horizontal="center" vertical="center"/>
    </xf>
    <xf numFmtId="14" fontId="14" fillId="4" borderId="10" xfId="0" applyNumberFormat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4" fontId="14" fillId="4" borderId="8" xfId="0" applyNumberFormat="1" applyFont="1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9" fontId="2" fillId="0" borderId="0" xfId="6" applyFont="1" applyFill="1" applyBorder="1" applyAlignment="1">
      <alignment horizontal="center" vertical="center"/>
    </xf>
    <xf numFmtId="0" fontId="0" fillId="24" borderId="0" xfId="0" applyFill="1"/>
    <xf numFmtId="0" fontId="18" fillId="13" borderId="55" xfId="0" applyFont="1" applyFill="1" applyBorder="1" applyAlignment="1">
      <alignment horizontal="center" vertical="center" wrapText="1" readingOrder="2"/>
    </xf>
    <xf numFmtId="0" fontId="55" fillId="0" borderId="56" xfId="0" applyFont="1" applyBorder="1" applyAlignment="1">
      <alignment vertical="center" wrapText="1"/>
    </xf>
    <xf numFmtId="0" fontId="18" fillId="13" borderId="56" xfId="0" applyFont="1" applyFill="1" applyBorder="1" applyAlignment="1">
      <alignment horizontal="center" vertical="center" wrapText="1"/>
    </xf>
    <xf numFmtId="0" fontId="18" fillId="13" borderId="57" xfId="0" applyFont="1" applyFill="1" applyBorder="1" applyAlignment="1">
      <alignment horizontal="center" vertical="center" wrapText="1" readingOrder="2"/>
    </xf>
    <xf numFmtId="0" fontId="55" fillId="0" borderId="58" xfId="0" applyFont="1" applyBorder="1" applyAlignment="1">
      <alignment vertical="center" wrapText="1"/>
    </xf>
    <xf numFmtId="0" fontId="18" fillId="13" borderId="58" xfId="0" applyFont="1" applyFill="1" applyBorder="1" applyAlignment="1">
      <alignment horizontal="center" vertical="center" wrapText="1"/>
    </xf>
    <xf numFmtId="0" fontId="18" fillId="13" borderId="59" xfId="0" applyFont="1" applyFill="1" applyBorder="1" applyAlignment="1">
      <alignment horizontal="center" vertical="center" wrapText="1" readingOrder="2"/>
    </xf>
    <xf numFmtId="0" fontId="55" fillId="0" borderId="60" xfId="0" applyFont="1" applyBorder="1" applyAlignment="1">
      <alignment vertical="center" wrapText="1"/>
    </xf>
    <xf numFmtId="0" fontId="18" fillId="13" borderId="60" xfId="0" applyFont="1" applyFill="1" applyBorder="1" applyAlignment="1">
      <alignment horizontal="center" vertical="center" wrapText="1"/>
    </xf>
    <xf numFmtId="0" fontId="58" fillId="13" borderId="61" xfId="0" applyFont="1" applyFill="1" applyBorder="1" applyAlignment="1">
      <alignment horizontal="left" vertical="center" wrapText="1" indent="1" readingOrder="2"/>
    </xf>
    <xf numFmtId="0" fontId="59" fillId="13" borderId="65" xfId="0" applyFont="1" applyFill="1" applyBorder="1" applyAlignment="1">
      <alignment horizontal="left" vertical="center" wrapText="1" indent="1"/>
    </xf>
    <xf numFmtId="0" fontId="15" fillId="0" borderId="0" xfId="0" applyFont="1"/>
    <xf numFmtId="0" fontId="18" fillId="13" borderId="71" xfId="0" applyFont="1" applyFill="1" applyBorder="1" applyAlignment="1">
      <alignment horizontal="center" vertical="center" wrapText="1" readingOrder="2"/>
    </xf>
    <xf numFmtId="0" fontId="18" fillId="13" borderId="72" xfId="0" applyFont="1" applyFill="1" applyBorder="1" applyAlignment="1">
      <alignment horizontal="center" vertical="center" wrapText="1" readingOrder="2"/>
    </xf>
    <xf numFmtId="0" fontId="18" fillId="13" borderId="73" xfId="0" applyFont="1" applyFill="1" applyBorder="1" applyAlignment="1">
      <alignment horizontal="center" vertical="center" wrapText="1" readingOrder="2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2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55" fillId="0" borderId="58" xfId="0" applyNumberFormat="1" applyFont="1" applyBorder="1" applyAlignment="1">
      <alignment vertical="center" wrapText="1"/>
    </xf>
    <xf numFmtId="20" fontId="55" fillId="0" borderId="60" xfId="0" applyNumberFormat="1" applyFont="1" applyBorder="1" applyAlignment="1">
      <alignment vertical="center" wrapText="1"/>
    </xf>
    <xf numFmtId="49" fontId="3" fillId="21" borderId="8" xfId="0" applyNumberFormat="1" applyFont="1" applyFill="1" applyBorder="1" applyAlignment="1">
      <alignment horizontal="center" vertical="center"/>
    </xf>
    <xf numFmtId="16" fontId="55" fillId="0" borderId="58" xfId="0" applyNumberFormat="1" applyFont="1" applyBorder="1" applyAlignment="1">
      <alignment vertical="center" wrapText="1"/>
    </xf>
    <xf numFmtId="49" fontId="3" fillId="0" borderId="51" xfId="0" applyNumberFormat="1" applyFont="1" applyBorder="1" applyAlignment="1">
      <alignment horizontal="center" vertical="center"/>
    </xf>
    <xf numFmtId="14" fontId="14" fillId="4" borderId="29" xfId="0" applyNumberFormat="1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0" fillId="26" borderId="0" xfId="0" applyFill="1"/>
    <xf numFmtId="1" fontId="11" fillId="3" borderId="5" xfId="0" applyNumberFormat="1" applyFont="1" applyFill="1" applyBorder="1" applyAlignment="1">
      <alignment horizontal="center" vertical="center"/>
    </xf>
    <xf numFmtId="0" fontId="15" fillId="0" borderId="80" xfId="0" applyFont="1" applyBorder="1" applyAlignment="1">
      <alignment horizontal="center" vertical="center"/>
    </xf>
    <xf numFmtId="164" fontId="0" fillId="0" borderId="0" xfId="7" applyFont="1"/>
    <xf numFmtId="165" fontId="0" fillId="0" borderId="0" xfId="0" applyNumberFormat="1"/>
    <xf numFmtId="164" fontId="0" fillId="0" borderId="0" xfId="0" applyNumberFormat="1"/>
    <xf numFmtId="0" fontId="14" fillId="4" borderId="41" xfId="0" applyFont="1" applyFill="1" applyBorder="1" applyAlignment="1">
      <alignment horizontal="center" vertical="center"/>
    </xf>
    <xf numFmtId="0" fontId="15" fillId="4" borderId="40" xfId="0" applyFont="1" applyFill="1" applyBorder="1" applyAlignment="1">
      <alignment horizontal="center" vertical="center"/>
    </xf>
    <xf numFmtId="0" fontId="17" fillId="4" borderId="40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5" fillId="21" borderId="25" xfId="0" applyFont="1" applyFill="1" applyBorder="1" applyAlignment="1">
      <alignment horizontal="center" vertical="center"/>
    </xf>
    <xf numFmtId="0" fontId="15" fillId="21" borderId="26" xfId="0" applyFont="1" applyFill="1" applyBorder="1" applyAlignment="1">
      <alignment horizontal="center" vertical="center"/>
    </xf>
    <xf numFmtId="0" fontId="15" fillId="21" borderId="8" xfId="0" applyFont="1" applyFill="1" applyBorder="1" applyAlignment="1">
      <alignment horizontal="center" vertical="center"/>
    </xf>
    <xf numFmtId="0" fontId="15" fillId="21" borderId="34" xfId="0" applyFont="1" applyFill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18" fillId="13" borderId="82" xfId="0" applyFont="1" applyFill="1" applyBorder="1" applyAlignment="1">
      <alignment horizontal="center" vertical="center" wrapText="1" readingOrder="2"/>
    </xf>
    <xf numFmtId="0" fontId="18" fillId="13" borderId="83" xfId="0" applyFont="1" applyFill="1" applyBorder="1" applyAlignment="1">
      <alignment horizontal="center" vertical="center" wrapText="1" readingOrder="2"/>
    </xf>
    <xf numFmtId="0" fontId="18" fillId="13" borderId="81" xfId="0" applyFont="1" applyFill="1" applyBorder="1" applyAlignment="1">
      <alignment horizontal="center" vertical="center" wrapText="1" readingOrder="2"/>
    </xf>
    <xf numFmtId="0" fontId="18" fillId="4" borderId="82" xfId="0" applyFont="1" applyFill="1" applyBorder="1" applyAlignment="1">
      <alignment horizontal="center" vertical="center" wrapText="1" readingOrder="2"/>
    </xf>
    <xf numFmtId="0" fontId="18" fillId="4" borderId="83" xfId="0" applyFont="1" applyFill="1" applyBorder="1" applyAlignment="1">
      <alignment horizontal="center" vertical="center" wrapText="1" readingOrder="2"/>
    </xf>
    <xf numFmtId="0" fontId="66" fillId="13" borderId="56" xfId="0" applyFont="1" applyFill="1" applyBorder="1" applyAlignment="1">
      <alignment horizontal="center" vertical="center" wrapText="1"/>
    </xf>
    <xf numFmtId="0" fontId="66" fillId="13" borderId="58" xfId="0" applyFont="1" applyFill="1" applyBorder="1" applyAlignment="1">
      <alignment horizontal="center" vertical="center" wrapText="1"/>
    </xf>
    <xf numFmtId="0" fontId="66" fillId="13" borderId="60" xfId="0" applyFont="1" applyFill="1" applyBorder="1" applyAlignment="1">
      <alignment horizontal="center" vertical="center" wrapText="1"/>
    </xf>
    <xf numFmtId="0" fontId="66" fillId="4" borderId="56" xfId="0" applyFont="1" applyFill="1" applyBorder="1" applyAlignment="1">
      <alignment horizontal="center" vertical="center" wrapText="1"/>
    </xf>
    <xf numFmtId="0" fontId="66" fillId="4" borderId="58" xfId="0" applyFont="1" applyFill="1" applyBorder="1" applyAlignment="1">
      <alignment horizontal="center" vertical="center" wrapText="1"/>
    </xf>
    <xf numFmtId="0" fontId="66" fillId="4" borderId="60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14" fontId="3" fillId="4" borderId="8" xfId="0" applyNumberFormat="1" applyFont="1" applyFill="1" applyBorder="1" applyAlignment="1">
      <alignment horizontal="center" vertical="center"/>
    </xf>
    <xf numFmtId="0" fontId="15" fillId="27" borderId="8" xfId="0" applyFont="1" applyFill="1" applyBorder="1" applyAlignment="1">
      <alignment horizontal="center" vertical="center"/>
    </xf>
    <xf numFmtId="0" fontId="17" fillId="27" borderId="8" xfId="0" applyFont="1" applyFill="1" applyBorder="1" applyAlignment="1">
      <alignment horizontal="center" vertical="center"/>
    </xf>
    <xf numFmtId="0" fontId="15" fillId="27" borderId="28" xfId="0" applyFont="1" applyFill="1" applyBorder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17" fontId="18" fillId="4" borderId="81" xfId="0" applyNumberFormat="1" applyFont="1" applyFill="1" applyBorder="1" applyAlignment="1">
      <alignment horizontal="center" vertical="center" wrapText="1" readingOrder="2"/>
    </xf>
    <xf numFmtId="0" fontId="3" fillId="0" borderId="84" xfId="0" applyFont="1" applyBorder="1" applyAlignment="1">
      <alignment horizontal="center" vertical="center"/>
    </xf>
    <xf numFmtId="0" fontId="0" fillId="0" borderId="8" xfId="0" applyBorder="1"/>
    <xf numFmtId="0" fontId="69" fillId="0" borderId="8" xfId="0" applyFont="1" applyBorder="1"/>
    <xf numFmtId="0" fontId="0" fillId="0" borderId="27" xfId="0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1" xfId="0" applyBorder="1"/>
    <xf numFmtId="0" fontId="69" fillId="0" borderId="0" xfId="0" applyFont="1"/>
    <xf numFmtId="0" fontId="3" fillId="0" borderId="0" xfId="0" applyFont="1" applyAlignment="1">
      <alignment horizontal="center"/>
    </xf>
    <xf numFmtId="0" fontId="70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top"/>
    </xf>
    <xf numFmtId="168" fontId="0" fillId="0" borderId="0" xfId="0" applyNumberFormat="1"/>
    <xf numFmtId="0" fontId="71" fillId="4" borderId="62" xfId="0" applyFont="1" applyFill="1" applyBorder="1" applyAlignment="1">
      <alignment vertical="center" wrapText="1" readingOrder="2"/>
    </xf>
    <xf numFmtId="0" fontId="72" fillId="4" borderId="66" xfId="0" applyFont="1" applyFill="1" applyBorder="1" applyAlignment="1">
      <alignment vertical="center" wrapText="1" readingOrder="2"/>
    </xf>
    <xf numFmtId="0" fontId="15" fillId="28" borderId="0" xfId="0" applyFont="1" applyFill="1" applyAlignment="1">
      <alignment horizontal="center" vertical="center"/>
    </xf>
    <xf numFmtId="0" fontId="73" fillId="29" borderId="0" xfId="0" applyFont="1" applyFill="1" applyAlignment="1">
      <alignment horizontal="center" vertical="center"/>
    </xf>
    <xf numFmtId="0" fontId="3" fillId="30" borderId="0" xfId="0" applyFont="1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0" borderId="30" xfId="0" applyBorder="1"/>
    <xf numFmtId="0" fontId="0" fillId="0" borderId="29" xfId="0" applyBorder="1"/>
    <xf numFmtId="0" fontId="17" fillId="0" borderId="48" xfId="0" applyFont="1" applyBorder="1" applyAlignment="1">
      <alignment horizontal="center" vertical="center"/>
    </xf>
    <xf numFmtId="0" fontId="17" fillId="0" borderId="85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0" fontId="17" fillId="4" borderId="48" xfId="0" applyFont="1" applyFill="1" applyBorder="1" applyAlignment="1">
      <alignment horizontal="center" vertical="center"/>
    </xf>
    <xf numFmtId="0" fontId="21" fillId="26" borderId="0" xfId="0" applyFont="1" applyFill="1"/>
    <xf numFmtId="164" fontId="0" fillId="6" borderId="0" xfId="7" applyFont="1" applyFill="1"/>
    <xf numFmtId="0" fontId="3" fillId="31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7" fillId="0" borderId="0" xfId="0" applyFont="1"/>
    <xf numFmtId="18" fontId="55" fillId="0" borderId="60" xfId="0" applyNumberFormat="1" applyFont="1" applyBorder="1" applyAlignment="1">
      <alignment vertical="center" wrapText="1"/>
    </xf>
    <xf numFmtId="0" fontId="19" fillId="13" borderId="87" xfId="0" applyFont="1" applyFill="1" applyBorder="1" applyAlignment="1">
      <alignment horizontal="center" vertical="center" wrapText="1" readingOrder="2"/>
    </xf>
    <xf numFmtId="0" fontId="72" fillId="4" borderId="75" xfId="0" applyFont="1" applyFill="1" applyBorder="1" applyAlignment="1">
      <alignment horizontal="center" vertical="center" wrapText="1" readingOrder="2"/>
    </xf>
    <xf numFmtId="0" fontId="19" fillId="4" borderId="75" xfId="0" applyFont="1" applyFill="1" applyBorder="1" applyAlignment="1">
      <alignment horizontal="center" vertical="center" wrapText="1" readingOrder="2"/>
    </xf>
    <xf numFmtId="0" fontId="19" fillId="4" borderId="74" xfId="0" applyFont="1" applyFill="1" applyBorder="1" applyAlignment="1">
      <alignment horizontal="center" vertical="center" wrapText="1" readingOrder="2"/>
    </xf>
    <xf numFmtId="0" fontId="19" fillId="4" borderId="0" xfId="0" applyFont="1" applyFill="1" applyAlignment="1">
      <alignment horizontal="center" vertical="center" wrapText="1" readingOrder="2"/>
    </xf>
    <xf numFmtId="0" fontId="0" fillId="0" borderId="76" xfId="0" applyBorder="1"/>
    <xf numFmtId="0" fontId="37" fillId="20" borderId="69" xfId="0" applyFont="1" applyFill="1" applyBorder="1" applyAlignment="1">
      <alignment horizontal="center" vertical="center"/>
    </xf>
    <xf numFmtId="0" fontId="37" fillId="20" borderId="70" xfId="0" applyFont="1" applyFill="1" applyBorder="1" applyAlignment="1">
      <alignment vertical="center"/>
    </xf>
    <xf numFmtId="14" fontId="15" fillId="4" borderId="25" xfId="0" applyNumberFormat="1" applyFont="1" applyFill="1" applyBorder="1" applyAlignment="1">
      <alignment horizontal="center" vertical="center"/>
    </xf>
    <xf numFmtId="0" fontId="11" fillId="3" borderId="89" xfId="0" applyFont="1" applyFill="1" applyBorder="1" applyAlignment="1">
      <alignment horizontal="center" vertical="center"/>
    </xf>
    <xf numFmtId="0" fontId="3" fillId="0" borderId="88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36" fillId="0" borderId="90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5" fillId="4" borderId="34" xfId="0" applyFont="1" applyFill="1" applyBorder="1" applyAlignment="1">
      <alignment horizontal="center" vertical="center"/>
    </xf>
    <xf numFmtId="14" fontId="15" fillId="4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26" borderId="0" xfId="0" applyFill="1" applyAlignment="1">
      <alignment horizontal="center"/>
    </xf>
    <xf numFmtId="0" fontId="19" fillId="4" borderId="66" xfId="0" applyFont="1" applyFill="1" applyBorder="1" applyAlignment="1">
      <alignment horizontal="center" vertical="center" wrapText="1" readingOrder="2"/>
    </xf>
    <xf numFmtId="0" fontId="19" fillId="4" borderId="67" xfId="0" applyFont="1" applyFill="1" applyBorder="1" applyAlignment="1">
      <alignment horizontal="center" vertical="center" wrapText="1" readingOrder="2"/>
    </xf>
    <xf numFmtId="0" fontId="19" fillId="4" borderId="68" xfId="0" applyFont="1" applyFill="1" applyBorder="1" applyAlignment="1">
      <alignment horizontal="center" vertical="center" wrapText="1" readingOrder="2"/>
    </xf>
    <xf numFmtId="0" fontId="72" fillId="4" borderId="92" xfId="0" applyFont="1" applyFill="1" applyBorder="1" applyAlignment="1">
      <alignment horizontal="center" vertical="center" wrapText="1" readingOrder="2"/>
    </xf>
    <xf numFmtId="0" fontId="19" fillId="13" borderId="92" xfId="0" applyFont="1" applyFill="1" applyBorder="1" applyAlignment="1">
      <alignment horizontal="center" vertical="center" wrapText="1" readingOrder="2"/>
    </xf>
    <xf numFmtId="0" fontId="0" fillId="0" borderId="93" xfId="0" applyBorder="1" applyAlignment="1">
      <alignment horizontal="center"/>
    </xf>
    <xf numFmtId="0" fontId="0" fillId="0" borderId="28" xfId="0" applyBorder="1"/>
    <xf numFmtId="14" fontId="15" fillId="26" borderId="8" xfId="0" applyNumberFormat="1" applyFont="1" applyFill="1" applyBorder="1" applyAlignment="1">
      <alignment horizontal="center" vertical="center"/>
    </xf>
    <xf numFmtId="0" fontId="0" fillId="14" borderId="0" xfId="0" applyFill="1"/>
    <xf numFmtId="0" fontId="71" fillId="4" borderId="62" xfId="0" applyFont="1" applyFill="1" applyBorder="1" applyAlignment="1">
      <alignment horizontal="center" vertical="center" wrapText="1" readingOrder="2"/>
    </xf>
    <xf numFmtId="0" fontId="72" fillId="4" borderId="66" xfId="0" applyFont="1" applyFill="1" applyBorder="1" applyAlignment="1">
      <alignment horizontal="center" vertical="center" wrapText="1" readingOrder="2"/>
    </xf>
    <xf numFmtId="0" fontId="24" fillId="0" borderId="0" xfId="0" applyFont="1"/>
    <xf numFmtId="0" fontId="8" fillId="0" borderId="0" xfId="0" applyFont="1" applyAlignment="1">
      <alignment horizontal="center" vertical="center"/>
    </xf>
    <xf numFmtId="14" fontId="14" fillId="37" borderId="10" xfId="0" applyNumberFormat="1" applyFont="1" applyFill="1" applyBorder="1" applyAlignment="1">
      <alignment horizontal="center" vertical="center"/>
    </xf>
    <xf numFmtId="0" fontId="16" fillId="37" borderId="8" xfId="0" applyFont="1" applyFill="1" applyBorder="1" applyAlignment="1">
      <alignment horizontal="center" vertical="center"/>
    </xf>
    <xf numFmtId="0" fontId="14" fillId="37" borderId="11" xfId="0" applyFont="1" applyFill="1" applyBorder="1" applyAlignment="1">
      <alignment horizontal="center" vertical="center"/>
    </xf>
    <xf numFmtId="0" fontId="14" fillId="37" borderId="8" xfId="0" applyFont="1" applyFill="1" applyBorder="1" applyAlignment="1">
      <alignment horizontal="center" vertical="center"/>
    </xf>
    <xf numFmtId="0" fontId="14" fillId="37" borderId="10" xfId="0" applyFont="1" applyFill="1" applyBorder="1" applyAlignment="1">
      <alignment horizontal="center" vertical="center"/>
    </xf>
    <xf numFmtId="14" fontId="14" fillId="37" borderId="8" xfId="0" applyNumberFormat="1" applyFont="1" applyFill="1" applyBorder="1" applyAlignment="1">
      <alignment horizontal="center" vertical="center"/>
    </xf>
    <xf numFmtId="0" fontId="16" fillId="37" borderId="29" xfId="0" applyFont="1" applyFill="1" applyBorder="1" applyAlignment="1">
      <alignment horizontal="center" vertical="center"/>
    </xf>
    <xf numFmtId="0" fontId="14" fillId="37" borderId="39" xfId="0" applyFont="1" applyFill="1" applyBorder="1" applyAlignment="1">
      <alignment horizontal="center" vertical="center"/>
    </xf>
    <xf numFmtId="0" fontId="14" fillId="37" borderId="29" xfId="0" applyFont="1" applyFill="1" applyBorder="1" applyAlignment="1">
      <alignment horizontal="center" vertical="center"/>
    </xf>
    <xf numFmtId="0" fontId="15" fillId="37" borderId="8" xfId="0" applyFont="1" applyFill="1" applyBorder="1" applyAlignment="1">
      <alignment horizontal="center" vertical="center"/>
    </xf>
    <xf numFmtId="0" fontId="14" fillId="37" borderId="40" xfId="0" applyFont="1" applyFill="1" applyBorder="1" applyAlignment="1">
      <alignment horizontal="center" vertical="center"/>
    </xf>
    <xf numFmtId="14" fontId="14" fillId="37" borderId="40" xfId="0" applyNumberFormat="1" applyFont="1" applyFill="1" applyBorder="1" applyAlignment="1">
      <alignment horizontal="center" vertical="center"/>
    </xf>
    <xf numFmtId="14" fontId="14" fillId="37" borderId="29" xfId="0" applyNumberFormat="1" applyFont="1" applyFill="1" applyBorder="1" applyAlignment="1">
      <alignment horizontal="center" vertical="center"/>
    </xf>
    <xf numFmtId="0" fontId="75" fillId="37" borderId="11" xfId="8" applyFill="1" applyBorder="1" applyAlignment="1">
      <alignment horizontal="center" vertical="center"/>
    </xf>
    <xf numFmtId="14" fontId="14" fillId="37" borderId="32" xfId="0" applyNumberFormat="1" applyFont="1" applyFill="1" applyBorder="1" applyAlignment="1">
      <alignment horizontal="center" vertical="center"/>
    </xf>
    <xf numFmtId="0" fontId="75" fillId="37" borderId="27" xfId="8" applyFill="1" applyBorder="1" applyAlignment="1">
      <alignment horizontal="center" vertical="center"/>
    </xf>
    <xf numFmtId="0" fontId="14" fillId="37" borderId="27" xfId="0" applyFont="1" applyFill="1" applyBorder="1" applyAlignment="1">
      <alignment horizontal="center" vertical="center"/>
    </xf>
    <xf numFmtId="14" fontId="15" fillId="37" borderId="41" xfId="0" applyNumberFormat="1" applyFont="1" applyFill="1" applyBorder="1" applyAlignment="1">
      <alignment horizontal="center" vertical="center"/>
    </xf>
    <xf numFmtId="14" fontId="14" fillId="37" borderId="41" xfId="0" applyNumberFormat="1" applyFont="1" applyFill="1" applyBorder="1" applyAlignment="1">
      <alignment horizontal="center" vertical="center"/>
    </xf>
    <xf numFmtId="0" fontId="14" fillId="37" borderId="41" xfId="0" applyFont="1" applyFill="1" applyBorder="1" applyAlignment="1">
      <alignment horizontal="center" vertical="center"/>
    </xf>
    <xf numFmtId="14" fontId="55" fillId="0" borderId="60" xfId="0" applyNumberFormat="1" applyFont="1" applyBorder="1" applyAlignment="1">
      <alignment vertical="center" wrapText="1"/>
    </xf>
    <xf numFmtId="0" fontId="18" fillId="4" borderId="71" xfId="0" applyFont="1" applyFill="1" applyBorder="1" applyAlignment="1">
      <alignment horizontal="center" vertical="center" wrapText="1" readingOrder="2"/>
    </xf>
    <xf numFmtId="0" fontId="55" fillId="4" borderId="56" xfId="0" applyFont="1" applyFill="1" applyBorder="1" applyAlignment="1">
      <alignment vertical="center" wrapText="1"/>
    </xf>
    <xf numFmtId="0" fontId="18" fillId="4" borderId="56" xfId="0" applyFont="1" applyFill="1" applyBorder="1" applyAlignment="1">
      <alignment horizontal="center" vertical="center" wrapText="1"/>
    </xf>
    <xf numFmtId="0" fontId="18" fillId="4" borderId="72" xfId="0" applyFont="1" applyFill="1" applyBorder="1" applyAlignment="1">
      <alignment horizontal="center" vertical="center" wrapText="1" readingOrder="2"/>
    </xf>
    <xf numFmtId="0" fontId="55" fillId="4" borderId="58" xfId="0" applyFont="1" applyFill="1" applyBorder="1" applyAlignment="1">
      <alignment vertical="center" wrapText="1"/>
    </xf>
    <xf numFmtId="0" fontId="18" fillId="4" borderId="58" xfId="0" applyFont="1" applyFill="1" applyBorder="1" applyAlignment="1">
      <alignment horizontal="center" vertical="center" wrapText="1"/>
    </xf>
    <xf numFmtId="14" fontId="55" fillId="4" borderId="58" xfId="0" applyNumberFormat="1" applyFont="1" applyFill="1" applyBorder="1" applyAlignment="1">
      <alignment vertical="center" wrapText="1"/>
    </xf>
    <xf numFmtId="0" fontId="18" fillId="4" borderId="73" xfId="0" applyFont="1" applyFill="1" applyBorder="1" applyAlignment="1">
      <alignment horizontal="center" vertical="center" wrapText="1" readingOrder="2"/>
    </xf>
    <xf numFmtId="18" fontId="55" fillId="4" borderId="60" xfId="0" applyNumberFormat="1" applyFont="1" applyFill="1" applyBorder="1" applyAlignment="1">
      <alignment vertical="center" wrapText="1"/>
    </xf>
    <xf numFmtId="0" fontId="55" fillId="4" borderId="60" xfId="0" applyFont="1" applyFill="1" applyBorder="1" applyAlignment="1">
      <alignment vertical="center" wrapText="1"/>
    </xf>
    <xf numFmtId="0" fontId="18" fillId="4" borderId="60" xfId="0" applyFont="1" applyFill="1" applyBorder="1" applyAlignment="1">
      <alignment horizontal="center" vertical="center" wrapText="1"/>
    </xf>
    <xf numFmtId="0" fontId="15" fillId="4" borderId="0" xfId="0" applyFont="1" applyFill="1"/>
    <xf numFmtId="0" fontId="21" fillId="0" borderId="0" xfId="0" applyFont="1" applyAlignment="1">
      <alignment horizontal="left"/>
    </xf>
    <xf numFmtId="0" fontId="76" fillId="37" borderId="8" xfId="8" applyFont="1" applyFill="1" applyBorder="1" applyAlignment="1">
      <alignment horizontal="center" vertical="center"/>
    </xf>
    <xf numFmtId="0" fontId="77" fillId="4" borderId="0" xfId="0" applyFont="1" applyFill="1" applyAlignment="1">
      <alignment vertical="center" wrapText="1" readingOrder="2"/>
    </xf>
    <xf numFmtId="0" fontId="2" fillId="0" borderId="11" xfId="0" applyFont="1" applyBorder="1" applyAlignment="1">
      <alignment horizontal="center" vertical="center"/>
    </xf>
    <xf numFmtId="0" fontId="0" fillId="0" borderId="48" xfId="0" applyBorder="1"/>
    <xf numFmtId="0" fontId="0" fillId="0" borderId="13" xfId="0" applyBorder="1"/>
    <xf numFmtId="0" fontId="0" fillId="0" borderId="11" xfId="0" applyBorder="1"/>
    <xf numFmtId="0" fontId="0" fillId="0" borderId="39" xfId="0" applyBorder="1"/>
    <xf numFmtId="0" fontId="0" fillId="0" borderId="42" xfId="0" applyBorder="1"/>
    <xf numFmtId="0" fontId="0" fillId="0" borderId="10" xfId="0" applyBorder="1"/>
    <xf numFmtId="9" fontId="0" fillId="0" borderId="10" xfId="6" applyFont="1" applyBorder="1"/>
    <xf numFmtId="0" fontId="21" fillId="0" borderId="48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75" fillId="0" borderId="0" xfId="8"/>
    <xf numFmtId="0" fontId="14" fillId="0" borderId="70" xfId="0" applyFont="1" applyBorder="1" applyAlignment="1">
      <alignment horizontal="center"/>
    </xf>
    <xf numFmtId="0" fontId="42" fillId="0" borderId="0" xfId="0" applyFont="1" applyAlignment="1">
      <alignment horizontal="right" vertical="center"/>
    </xf>
    <xf numFmtId="0" fontId="49" fillId="11" borderId="2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11" borderId="30" xfId="0" applyFont="1" applyFill="1" applyBorder="1" applyAlignment="1">
      <alignment horizontal="center" vertical="center"/>
    </xf>
    <xf numFmtId="0" fontId="15" fillId="11" borderId="31" xfId="0" applyFont="1" applyFill="1" applyBorder="1" applyAlignment="1">
      <alignment horizontal="center" vertical="center"/>
    </xf>
    <xf numFmtId="0" fontId="15" fillId="11" borderId="33" xfId="0" applyFont="1" applyFill="1" applyBorder="1" applyAlignment="1">
      <alignment horizontal="center" vertical="center"/>
    </xf>
    <xf numFmtId="0" fontId="50" fillId="4" borderId="8" xfId="0" applyFont="1" applyFill="1" applyBorder="1" applyAlignment="1">
      <alignment horizontal="center" vertical="center"/>
    </xf>
    <xf numFmtId="0" fontId="50" fillId="4" borderId="3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54" fillId="1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2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47" fillId="6" borderId="0" xfId="0" applyFont="1" applyFill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46" fillId="15" borderId="0" xfId="0" applyFont="1" applyFill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0" xfId="0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0" fontId="0" fillId="0" borderId="39" xfId="0" applyBorder="1" applyAlignment="1">
      <alignment horizontal="right" vertical="top"/>
    </xf>
    <xf numFmtId="0" fontId="0" fillId="0" borderId="28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42" xfId="0" applyBorder="1" applyAlignment="1">
      <alignment horizontal="right" vertical="top"/>
    </xf>
    <xf numFmtId="0" fontId="0" fillId="0" borderId="41" xfId="0" applyBorder="1" applyAlignment="1">
      <alignment horizontal="right" vertical="top"/>
    </xf>
    <xf numFmtId="0" fontId="0" fillId="0" borderId="43" xfId="0" applyBorder="1" applyAlignment="1">
      <alignment horizontal="right" vertical="top"/>
    </xf>
    <xf numFmtId="0" fontId="0" fillId="0" borderId="44" xfId="0" applyBorder="1" applyAlignment="1">
      <alignment horizontal="right" vertical="top"/>
    </xf>
    <xf numFmtId="0" fontId="15" fillId="12" borderId="10" xfId="0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12" borderId="10" xfId="0" applyFont="1" applyFill="1" applyBorder="1" applyAlignment="1">
      <alignment horizontal="center"/>
    </xf>
    <xf numFmtId="0" fontId="3" fillId="12" borderId="11" xfId="0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4" fillId="12" borderId="10" xfId="0" applyFont="1" applyFill="1" applyBorder="1" applyAlignment="1">
      <alignment horizontal="center"/>
    </xf>
    <xf numFmtId="0" fontId="4" fillId="12" borderId="11" xfId="0" applyFont="1" applyFill="1" applyBorder="1" applyAlignment="1">
      <alignment horizontal="center"/>
    </xf>
    <xf numFmtId="0" fontId="4" fillId="12" borderId="40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1" xfId="0" applyFont="1" applyFill="1" applyBorder="1" applyAlignment="1">
      <alignment horizontal="center" vertical="center"/>
    </xf>
    <xf numFmtId="0" fontId="4" fillId="12" borderId="44" xfId="0" applyFont="1" applyFill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 readingOrder="2"/>
    </xf>
    <xf numFmtId="0" fontId="19" fillId="4" borderId="11" xfId="0" applyFont="1" applyFill="1" applyBorder="1" applyAlignment="1">
      <alignment horizontal="center" vertical="center" wrapText="1" readingOrder="2"/>
    </xf>
    <xf numFmtId="0" fontId="22" fillId="11" borderId="28" xfId="0" applyFont="1" applyFill="1" applyBorder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14" fontId="19" fillId="4" borderId="10" xfId="0" applyNumberFormat="1" applyFont="1" applyFill="1" applyBorder="1" applyAlignment="1">
      <alignment horizontal="center" vertical="center" wrapText="1" readingOrder="2"/>
    </xf>
    <xf numFmtId="14" fontId="19" fillId="4" borderId="11" xfId="0" applyNumberFormat="1" applyFont="1" applyFill="1" applyBorder="1" applyAlignment="1">
      <alignment horizontal="center" vertical="center" wrapText="1" readingOrder="2"/>
    </xf>
    <xf numFmtId="0" fontId="28" fillId="11" borderId="10" xfId="0" applyFont="1" applyFill="1" applyBorder="1" applyAlignment="1">
      <alignment horizontal="center" vertical="center"/>
    </xf>
    <xf numFmtId="0" fontId="28" fillId="11" borderId="48" xfId="0" applyFont="1" applyFill="1" applyBorder="1" applyAlignment="1">
      <alignment horizontal="center" vertical="center"/>
    </xf>
    <xf numFmtId="0" fontId="28" fillId="11" borderId="11" xfId="0" applyFont="1" applyFill="1" applyBorder="1" applyAlignment="1">
      <alignment horizontal="center" vertical="center"/>
    </xf>
    <xf numFmtId="0" fontId="24" fillId="11" borderId="10" xfId="0" applyFont="1" applyFill="1" applyBorder="1" applyAlignment="1">
      <alignment horizontal="center" vertical="center"/>
    </xf>
    <xf numFmtId="0" fontId="24" fillId="11" borderId="48" xfId="0" applyFont="1" applyFill="1" applyBorder="1" applyAlignment="1">
      <alignment horizontal="center" vertical="center"/>
    </xf>
    <xf numFmtId="0" fontId="24" fillId="11" borderId="11" xfId="0" applyFont="1" applyFill="1" applyBorder="1" applyAlignment="1">
      <alignment horizontal="center" vertical="center"/>
    </xf>
    <xf numFmtId="0" fontId="2" fillId="14" borderId="40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/>
    </xf>
    <xf numFmtId="0" fontId="2" fillId="14" borderId="39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42" xfId="0" applyFont="1" applyFill="1" applyBorder="1" applyAlignment="1">
      <alignment horizontal="center" vertical="center"/>
    </xf>
    <xf numFmtId="0" fontId="2" fillId="14" borderId="41" xfId="0" applyFont="1" applyFill="1" applyBorder="1" applyAlignment="1">
      <alignment horizontal="center" vertical="center"/>
    </xf>
    <xf numFmtId="0" fontId="2" fillId="14" borderId="43" xfId="0" applyFont="1" applyFill="1" applyBorder="1" applyAlignment="1">
      <alignment horizontal="center" vertical="center"/>
    </xf>
    <xf numFmtId="0" fontId="2" fillId="14" borderId="44" xfId="0" applyFont="1" applyFill="1" applyBorder="1" applyAlignment="1">
      <alignment horizontal="center" vertical="center"/>
    </xf>
    <xf numFmtId="0" fontId="2" fillId="9" borderId="40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2" fillId="9" borderId="41" xfId="0" applyFont="1" applyFill="1" applyBorder="1" applyAlignment="1">
      <alignment horizontal="center" vertical="center"/>
    </xf>
    <xf numFmtId="0" fontId="2" fillId="9" borderId="44" xfId="0" applyFont="1" applyFill="1" applyBorder="1" applyAlignment="1">
      <alignment horizontal="center" vertical="center"/>
    </xf>
    <xf numFmtId="168" fontId="19" fillId="4" borderId="10" xfId="0" applyNumberFormat="1" applyFont="1" applyFill="1" applyBorder="1" applyAlignment="1">
      <alignment horizontal="center" vertical="center" wrapText="1" readingOrder="2"/>
    </xf>
    <xf numFmtId="168" fontId="19" fillId="4" borderId="11" xfId="0" applyNumberFormat="1" applyFont="1" applyFill="1" applyBorder="1" applyAlignment="1">
      <alignment horizontal="center" vertical="center" wrapText="1" readingOrder="2"/>
    </xf>
    <xf numFmtId="14" fontId="2" fillId="14" borderId="40" xfId="0" applyNumberFormat="1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 wrapText="1" readingOrder="2"/>
    </xf>
    <xf numFmtId="14" fontId="19" fillId="4" borderId="8" xfId="0" applyNumberFormat="1" applyFont="1" applyFill="1" applyBorder="1" applyAlignment="1">
      <alignment horizontal="center" vertical="center" wrapText="1" readingOrder="2"/>
    </xf>
    <xf numFmtId="0" fontId="2" fillId="6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35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35" fillId="4" borderId="10" xfId="0" applyFont="1" applyFill="1" applyBorder="1" applyAlignment="1">
      <alignment horizontal="center" vertical="center" wrapText="1"/>
    </xf>
    <xf numFmtId="0" fontId="35" fillId="4" borderId="11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 wrapText="1" readingOrder="2"/>
    </xf>
    <xf numFmtId="0" fontId="18" fillId="4" borderId="11" xfId="0" applyFont="1" applyFill="1" applyBorder="1" applyAlignment="1">
      <alignment horizontal="center" vertical="center" wrapText="1" readingOrder="2"/>
    </xf>
    <xf numFmtId="0" fontId="25" fillId="11" borderId="0" xfId="0" applyFont="1" applyFill="1" applyAlignment="1">
      <alignment horizontal="center" vertical="center"/>
    </xf>
    <xf numFmtId="14" fontId="18" fillId="4" borderId="10" xfId="0" applyNumberFormat="1" applyFont="1" applyFill="1" applyBorder="1" applyAlignment="1">
      <alignment horizontal="center" vertical="center" wrapText="1" readingOrder="2"/>
    </xf>
    <xf numFmtId="0" fontId="2" fillId="15" borderId="0" xfId="0" applyFont="1" applyFill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3" fillId="12" borderId="27" xfId="0" applyFont="1" applyFill="1" applyBorder="1" applyAlignment="1">
      <alignment horizontal="center"/>
    </xf>
    <xf numFmtId="0" fontId="23" fillId="12" borderId="8" xfId="0" applyFont="1" applyFill="1" applyBorder="1" applyAlignment="1">
      <alignment horizontal="center" vertical="center" wrapText="1"/>
    </xf>
    <xf numFmtId="0" fontId="3" fillId="12" borderId="29" xfId="0" applyFont="1" applyFill="1" applyBorder="1" applyAlignment="1">
      <alignment horizontal="center"/>
    </xf>
    <xf numFmtId="0" fontId="37" fillId="0" borderId="8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7" fillId="0" borderId="0" xfId="0" applyFont="1" applyAlignment="1">
      <alignment horizontal="right" vertical="top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right"/>
    </xf>
    <xf numFmtId="0" fontId="15" fillId="0" borderId="45" xfId="0" applyFont="1" applyBorder="1" applyAlignment="1">
      <alignment horizontal="right"/>
    </xf>
    <xf numFmtId="0" fontId="21" fillId="0" borderId="0" xfId="0" applyFont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7" fontId="17" fillId="0" borderId="8" xfId="0" applyNumberFormat="1" applyFont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1" fillId="12" borderId="40" xfId="0" applyFont="1" applyFill="1" applyBorder="1" applyAlignment="1">
      <alignment horizontal="center" vertical="center"/>
    </xf>
    <xf numFmtId="0" fontId="31" fillId="12" borderId="13" xfId="0" applyFont="1" applyFill="1" applyBorder="1" applyAlignment="1">
      <alignment horizontal="center" vertical="center"/>
    </xf>
    <xf numFmtId="0" fontId="31" fillId="12" borderId="39" xfId="0" applyFont="1" applyFill="1" applyBorder="1" applyAlignment="1">
      <alignment horizontal="center" vertical="center"/>
    </xf>
    <xf numFmtId="0" fontId="31" fillId="12" borderId="41" xfId="0" applyFont="1" applyFill="1" applyBorder="1" applyAlignment="1">
      <alignment horizontal="center" vertical="center"/>
    </xf>
    <xf numFmtId="0" fontId="31" fillId="12" borderId="43" xfId="0" applyFont="1" applyFill="1" applyBorder="1" applyAlignment="1">
      <alignment horizontal="center" vertical="center"/>
    </xf>
    <xf numFmtId="0" fontId="31" fillId="12" borderId="44" xfId="0" applyFont="1" applyFill="1" applyBorder="1" applyAlignment="1">
      <alignment horizontal="center" vertical="center"/>
    </xf>
    <xf numFmtId="0" fontId="2" fillId="14" borderId="50" xfId="1" applyFont="1" applyFill="1" applyBorder="1" applyAlignment="1">
      <alignment horizontal="center" vertical="center"/>
    </xf>
    <xf numFmtId="0" fontId="0" fillId="5" borderId="41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17" fillId="0" borderId="48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5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0" fillId="0" borderId="0" xfId="0" applyFont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10" xfId="7" applyFont="1" applyBorder="1" applyAlignment="1">
      <alignment horizontal="center"/>
    </xf>
    <xf numFmtId="164" fontId="2" fillId="0" borderId="11" xfId="7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35" borderId="51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14" fontId="3" fillId="0" borderId="5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4" fillId="20" borderId="0" xfId="2" applyFont="1" applyFill="1" applyBorder="1" applyAlignment="1">
      <alignment horizontal="center" vertical="center"/>
    </xf>
    <xf numFmtId="0" fontId="3" fillId="36" borderId="51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38" borderId="51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14" fontId="38" fillId="0" borderId="34" xfId="0" applyNumberFormat="1" applyFont="1" applyBorder="1" applyAlignment="1">
      <alignment horizontal="center" vertical="center"/>
    </xf>
    <xf numFmtId="0" fontId="38" fillId="0" borderId="49" xfId="0" applyFont="1" applyBorder="1" applyAlignment="1">
      <alignment horizontal="center" vertical="center"/>
    </xf>
    <xf numFmtId="14" fontId="20" fillId="0" borderId="34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4" fontId="38" fillId="0" borderId="8" xfId="0" applyNumberFormat="1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14" fontId="20" fillId="0" borderId="8" xfId="0" applyNumberFormat="1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14" fontId="20" fillId="0" borderId="11" xfId="0" applyNumberFormat="1" applyFont="1" applyBorder="1" applyAlignment="1">
      <alignment horizontal="center" vertical="center"/>
    </xf>
    <xf numFmtId="14" fontId="20" fillId="0" borderId="29" xfId="0" applyNumberFormat="1" applyFont="1" applyBorder="1" applyAlignment="1">
      <alignment horizontal="center" vertical="center"/>
    </xf>
    <xf numFmtId="14" fontId="38" fillId="0" borderId="29" xfId="0" applyNumberFormat="1" applyFont="1" applyBorder="1" applyAlignment="1">
      <alignment horizontal="center" vertical="center"/>
    </xf>
    <xf numFmtId="0" fontId="38" fillId="0" borderId="91" xfId="0" applyFont="1" applyBorder="1" applyAlignment="1">
      <alignment horizontal="center" vertical="center"/>
    </xf>
    <xf numFmtId="14" fontId="20" fillId="4" borderId="8" xfId="0" applyNumberFormat="1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53" fillId="4" borderId="10" xfId="0" applyFont="1" applyFill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/>
    </xf>
    <xf numFmtId="0" fontId="30" fillId="18" borderId="25" xfId="0" applyFont="1" applyFill="1" applyBorder="1" applyAlignment="1">
      <alignment horizontal="center" vertical="center"/>
    </xf>
    <xf numFmtId="0" fontId="30" fillId="18" borderId="26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7" fillId="12" borderId="40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7" fillId="12" borderId="39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2" borderId="42" xfId="0" applyFont="1" applyFill="1" applyBorder="1" applyAlignment="1">
      <alignment horizontal="center" vertical="center"/>
    </xf>
    <xf numFmtId="0" fontId="7" fillId="12" borderId="41" xfId="0" applyFont="1" applyFill="1" applyBorder="1" applyAlignment="1">
      <alignment horizontal="center" vertical="center"/>
    </xf>
    <xf numFmtId="0" fontId="7" fillId="12" borderId="43" xfId="0" applyFont="1" applyFill="1" applyBorder="1" applyAlignment="1">
      <alignment horizontal="center" vertical="center"/>
    </xf>
    <xf numFmtId="0" fontId="7" fillId="12" borderId="44" xfId="0" applyFont="1" applyFill="1" applyBorder="1" applyAlignment="1">
      <alignment horizontal="center" vertical="center"/>
    </xf>
    <xf numFmtId="0" fontId="71" fillId="4" borderId="62" xfId="0" applyFont="1" applyFill="1" applyBorder="1" applyAlignment="1">
      <alignment horizontal="center" vertical="center" wrapText="1" readingOrder="2"/>
    </xf>
    <xf numFmtId="0" fontId="72" fillId="4" borderId="66" xfId="0" applyFont="1" applyFill="1" applyBorder="1" applyAlignment="1">
      <alignment horizontal="center" vertical="center" wrapText="1" readingOrder="2"/>
    </xf>
    <xf numFmtId="0" fontId="19" fillId="13" borderId="69" xfId="0" applyFont="1" applyFill="1" applyBorder="1" applyAlignment="1">
      <alignment horizontal="center" vertical="center" wrapText="1" readingOrder="2"/>
    </xf>
    <xf numFmtId="0" fontId="19" fillId="13" borderId="70" xfId="0" applyFont="1" applyFill="1" applyBorder="1" applyAlignment="1">
      <alignment horizontal="center" vertical="center" wrapText="1" readingOrder="2"/>
    </xf>
    <xf numFmtId="0" fontId="19" fillId="4" borderId="62" xfId="0" applyFont="1" applyFill="1" applyBorder="1" applyAlignment="1">
      <alignment horizontal="center" vertical="center" wrapText="1" readingOrder="2"/>
    </xf>
    <xf numFmtId="0" fontId="19" fillId="4" borderId="66" xfId="0" applyFont="1" applyFill="1" applyBorder="1" applyAlignment="1">
      <alignment horizontal="center" vertical="center" wrapText="1" readingOrder="2"/>
    </xf>
    <xf numFmtId="0" fontId="19" fillId="4" borderId="63" xfId="0" applyFont="1" applyFill="1" applyBorder="1" applyAlignment="1">
      <alignment horizontal="center" vertical="center" wrapText="1" readingOrder="2"/>
    </xf>
    <xf numFmtId="0" fontId="19" fillId="4" borderId="64" xfId="0" applyFont="1" applyFill="1" applyBorder="1" applyAlignment="1">
      <alignment horizontal="center" vertical="center" wrapText="1" readingOrder="2"/>
    </xf>
    <xf numFmtId="0" fontId="19" fillId="4" borderId="67" xfId="0" applyFont="1" applyFill="1" applyBorder="1" applyAlignment="1">
      <alignment horizontal="center" vertical="center" wrapText="1" readingOrder="2"/>
    </xf>
    <xf numFmtId="0" fontId="19" fillId="4" borderId="68" xfId="0" applyFont="1" applyFill="1" applyBorder="1" applyAlignment="1">
      <alignment horizontal="center" vertical="center" wrapText="1" readingOrder="2"/>
    </xf>
    <xf numFmtId="0" fontId="74" fillId="4" borderId="62" xfId="0" applyFont="1" applyFill="1" applyBorder="1" applyAlignment="1">
      <alignment horizontal="center" wrapText="1" readingOrder="2"/>
    </xf>
    <xf numFmtId="0" fontId="19" fillId="4" borderId="66" xfId="0" applyFont="1" applyFill="1" applyBorder="1" applyAlignment="1">
      <alignment horizontal="center" wrapText="1" readingOrder="2"/>
    </xf>
    <xf numFmtId="0" fontId="62" fillId="4" borderId="62" xfId="0" applyFont="1" applyFill="1" applyBorder="1" applyAlignment="1">
      <alignment horizontal="center" vertical="center" wrapText="1" readingOrder="2"/>
    </xf>
    <xf numFmtId="0" fontId="0" fillId="0" borderId="69" xfId="0" applyBorder="1" applyAlignment="1">
      <alignment horizontal="center"/>
    </xf>
    <xf numFmtId="0" fontId="0" fillId="0" borderId="87" xfId="0" applyBorder="1" applyAlignment="1">
      <alignment horizontal="center"/>
    </xf>
    <xf numFmtId="0" fontId="19" fillId="4" borderId="77" xfId="0" applyFont="1" applyFill="1" applyBorder="1" applyAlignment="1">
      <alignment horizontal="center" vertical="center" wrapText="1" readingOrder="2"/>
    </xf>
    <xf numFmtId="0" fontId="19" fillId="4" borderId="79" xfId="0" applyFont="1" applyFill="1" applyBorder="1" applyAlignment="1">
      <alignment horizontal="center" vertical="center" wrapText="1" readingOrder="2"/>
    </xf>
    <xf numFmtId="0" fontId="19" fillId="4" borderId="78" xfId="0" applyFont="1" applyFill="1" applyBorder="1" applyAlignment="1">
      <alignment horizontal="center" vertical="center" wrapText="1" readingOrder="2"/>
    </xf>
    <xf numFmtId="0" fontId="56" fillId="4" borderId="0" xfId="0" applyFont="1" applyFill="1" applyAlignment="1">
      <alignment horizontal="center"/>
    </xf>
    <xf numFmtId="0" fontId="57" fillId="0" borderId="0" xfId="0" applyFont="1" applyAlignment="1">
      <alignment horizontal="center" vertical="center"/>
    </xf>
    <xf numFmtId="0" fontId="19" fillId="13" borderId="62" xfId="0" applyFont="1" applyFill="1" applyBorder="1" applyAlignment="1">
      <alignment horizontal="center" vertical="center" wrapText="1" readingOrder="2"/>
    </xf>
    <xf numFmtId="0" fontId="19" fillId="13" borderId="66" xfId="0" applyFont="1" applyFill="1" applyBorder="1" applyAlignment="1">
      <alignment horizontal="center" vertical="center" wrapText="1" readingOrder="2"/>
    </xf>
    <xf numFmtId="0" fontId="19" fillId="13" borderId="63" xfId="0" applyFont="1" applyFill="1" applyBorder="1" applyAlignment="1">
      <alignment horizontal="center" vertical="center" wrapText="1" readingOrder="2"/>
    </xf>
    <xf numFmtId="0" fontId="19" fillId="13" borderId="64" xfId="0" applyFont="1" applyFill="1" applyBorder="1" applyAlignment="1">
      <alignment horizontal="center" vertical="center" wrapText="1" readingOrder="2"/>
    </xf>
    <xf numFmtId="0" fontId="19" fillId="13" borderId="67" xfId="0" applyFont="1" applyFill="1" applyBorder="1" applyAlignment="1">
      <alignment horizontal="center" vertical="center" wrapText="1" readingOrder="2"/>
    </xf>
    <xf numFmtId="0" fontId="19" fillId="13" borderId="68" xfId="0" applyFont="1" applyFill="1" applyBorder="1" applyAlignment="1">
      <alignment horizontal="center" vertical="center" wrapText="1" readingOrder="2"/>
    </xf>
    <xf numFmtId="0" fontId="60" fillId="13" borderId="61" xfId="0" applyFont="1" applyFill="1" applyBorder="1" applyAlignment="1">
      <alignment horizontal="center" vertical="center" wrapText="1" readingOrder="2"/>
    </xf>
    <xf numFmtId="0" fontId="60" fillId="13" borderId="65" xfId="0" applyFont="1" applyFill="1" applyBorder="1" applyAlignment="1">
      <alignment horizontal="center" vertical="center" wrapText="1" readingOrder="2"/>
    </xf>
    <xf numFmtId="0" fontId="19" fillId="13" borderId="87" xfId="0" applyFont="1" applyFill="1" applyBorder="1" applyAlignment="1">
      <alignment horizontal="center" vertical="center" wrapText="1" readingOrder="2"/>
    </xf>
    <xf numFmtId="0" fontId="71" fillId="4" borderId="75" xfId="0" applyFont="1" applyFill="1" applyBorder="1" applyAlignment="1">
      <alignment horizontal="center" vertical="center" wrapText="1" readingOrder="2"/>
    </xf>
    <xf numFmtId="0" fontId="19" fillId="4" borderId="74" xfId="0" applyFont="1" applyFill="1" applyBorder="1" applyAlignment="1">
      <alignment horizontal="center" vertical="center" wrapText="1" readingOrder="2"/>
    </xf>
    <xf numFmtId="0" fontId="19" fillId="4" borderId="0" xfId="0" applyFont="1" applyFill="1" applyAlignment="1">
      <alignment horizontal="center" vertical="center" wrapText="1" readingOrder="2"/>
    </xf>
    <xf numFmtId="0" fontId="19" fillId="4" borderId="75" xfId="0" applyFont="1" applyFill="1" applyBorder="1" applyAlignment="1">
      <alignment horizontal="center" vertical="center" wrapText="1" readingOrder="2"/>
    </xf>
    <xf numFmtId="0" fontId="0" fillId="0" borderId="63" xfId="0" applyBorder="1" applyAlignment="1">
      <alignment horizontal="right" vertical="top"/>
    </xf>
    <xf numFmtId="0" fontId="0" fillId="0" borderId="64" xfId="0" applyBorder="1" applyAlignment="1">
      <alignment horizontal="right" vertical="top"/>
    </xf>
    <xf numFmtId="0" fontId="0" fillId="0" borderId="62" xfId="0" applyBorder="1" applyAlignment="1">
      <alignment horizontal="right" vertical="top"/>
    </xf>
    <xf numFmtId="0" fontId="0" fillId="0" borderId="74" xfId="0" applyBorder="1" applyAlignment="1">
      <alignment horizontal="right" vertical="top"/>
    </xf>
    <xf numFmtId="0" fontId="0" fillId="0" borderId="75" xfId="0" applyBorder="1" applyAlignment="1">
      <alignment horizontal="right" vertical="top"/>
    </xf>
    <xf numFmtId="0" fontId="0" fillId="0" borderId="67" xfId="0" applyBorder="1" applyAlignment="1">
      <alignment horizontal="right" vertical="top"/>
    </xf>
    <xf numFmtId="0" fontId="0" fillId="0" borderId="68" xfId="0" applyBorder="1" applyAlignment="1">
      <alignment horizontal="right" vertical="top"/>
    </xf>
    <xf numFmtId="0" fontId="0" fillId="0" borderId="66" xfId="0" applyBorder="1" applyAlignment="1">
      <alignment horizontal="right" vertical="top"/>
    </xf>
    <xf numFmtId="0" fontId="37" fillId="20" borderId="69" xfId="0" applyFont="1" applyFill="1" applyBorder="1" applyAlignment="1">
      <alignment horizontal="center" vertical="center"/>
    </xf>
    <xf numFmtId="0" fontId="37" fillId="20" borderId="70" xfId="0" applyFont="1" applyFill="1" applyBorder="1" applyAlignment="1">
      <alignment horizontal="center" vertical="center"/>
    </xf>
    <xf numFmtId="0" fontId="64" fillId="4" borderId="62" xfId="0" applyFont="1" applyFill="1" applyBorder="1" applyAlignment="1">
      <alignment horizontal="center" vertical="center" wrapText="1" readingOrder="2"/>
    </xf>
    <xf numFmtId="0" fontId="65" fillId="4" borderId="66" xfId="0" applyFont="1" applyFill="1" applyBorder="1" applyAlignment="1">
      <alignment horizontal="center" vertical="center" wrapText="1" readingOrder="2"/>
    </xf>
    <xf numFmtId="0" fontId="0" fillId="4" borderId="69" xfId="0" applyFill="1" applyBorder="1" applyAlignment="1">
      <alignment horizontal="center"/>
    </xf>
    <xf numFmtId="0" fontId="0" fillId="4" borderId="70" xfId="0" applyFill="1" applyBorder="1" applyAlignment="1">
      <alignment horizontal="center"/>
    </xf>
    <xf numFmtId="0" fontId="11" fillId="4" borderId="69" xfId="0" applyFont="1" applyFill="1" applyBorder="1" applyAlignment="1">
      <alignment horizontal="center" vertical="center"/>
    </xf>
    <xf numFmtId="0" fontId="11" fillId="4" borderId="70" xfId="0" applyFont="1" applyFill="1" applyBorder="1" applyAlignment="1">
      <alignment horizontal="center" vertical="center"/>
    </xf>
    <xf numFmtId="0" fontId="37" fillId="6" borderId="69" xfId="0" applyFont="1" applyFill="1" applyBorder="1" applyAlignment="1">
      <alignment horizontal="center" vertical="center"/>
    </xf>
    <xf numFmtId="0" fontId="37" fillId="6" borderId="70" xfId="0" applyFont="1" applyFill="1" applyBorder="1" applyAlignment="1">
      <alignment horizontal="center" vertical="center"/>
    </xf>
    <xf numFmtId="0" fontId="2" fillId="4" borderId="69" xfId="0" applyFont="1" applyFill="1" applyBorder="1" applyAlignment="1">
      <alignment horizontal="center" vertical="center"/>
    </xf>
    <xf numFmtId="0" fontId="2" fillId="4" borderId="70" xfId="0" applyFont="1" applyFill="1" applyBorder="1" applyAlignment="1">
      <alignment horizontal="center" vertical="center"/>
    </xf>
    <xf numFmtId="0" fontId="0" fillId="0" borderId="70" xfId="0" applyBorder="1" applyAlignment="1">
      <alignment horizontal="center"/>
    </xf>
    <xf numFmtId="0" fontId="61" fillId="0" borderId="0" xfId="0" applyFont="1" applyAlignment="1">
      <alignment horizontal="center"/>
    </xf>
    <xf numFmtId="0" fontId="37" fillId="32" borderId="69" xfId="0" applyFont="1" applyFill="1" applyBorder="1" applyAlignment="1">
      <alignment horizontal="center" vertical="center"/>
    </xf>
    <xf numFmtId="0" fontId="37" fillId="32" borderId="70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/>
    </xf>
    <xf numFmtId="0" fontId="11" fillId="0" borderId="69" xfId="0" applyFont="1" applyBorder="1" applyAlignment="1">
      <alignment horizontal="center"/>
    </xf>
    <xf numFmtId="0" fontId="37" fillId="4" borderId="69" xfId="0" applyFont="1" applyFill="1" applyBorder="1" applyAlignment="1">
      <alignment horizontal="center" vertical="center"/>
    </xf>
    <xf numFmtId="0" fontId="37" fillId="4" borderId="70" xfId="0" applyFont="1" applyFill="1" applyBorder="1" applyAlignment="1">
      <alignment horizontal="center" vertical="center"/>
    </xf>
    <xf numFmtId="0" fontId="0" fillId="4" borderId="63" xfId="0" applyFill="1" applyBorder="1" applyAlignment="1">
      <alignment horizontal="right" vertical="top"/>
    </xf>
    <xf numFmtId="0" fontId="0" fillId="4" borderId="64" xfId="0" applyFill="1" applyBorder="1" applyAlignment="1">
      <alignment horizontal="right" vertical="top"/>
    </xf>
    <xf numFmtId="0" fontId="0" fillId="4" borderId="62" xfId="0" applyFill="1" applyBorder="1" applyAlignment="1">
      <alignment horizontal="right" vertical="top"/>
    </xf>
    <xf numFmtId="0" fontId="0" fillId="4" borderId="74" xfId="0" applyFill="1" applyBorder="1" applyAlignment="1">
      <alignment horizontal="right" vertical="top"/>
    </xf>
    <xf numFmtId="0" fontId="0" fillId="4" borderId="0" xfId="0" applyFill="1" applyAlignment="1">
      <alignment horizontal="right" vertical="top"/>
    </xf>
    <xf numFmtId="0" fontId="0" fillId="4" borderId="75" xfId="0" applyFill="1" applyBorder="1" applyAlignment="1">
      <alignment horizontal="right" vertical="top"/>
    </xf>
    <xf numFmtId="0" fontId="0" fillId="4" borderId="67" xfId="0" applyFill="1" applyBorder="1" applyAlignment="1">
      <alignment horizontal="right" vertical="top"/>
    </xf>
    <xf numFmtId="0" fontId="0" fillId="4" borderId="68" xfId="0" applyFill="1" applyBorder="1" applyAlignment="1">
      <alignment horizontal="right" vertical="top"/>
    </xf>
    <xf numFmtId="0" fontId="0" fillId="4" borderId="66" xfId="0" applyFill="1" applyBorder="1" applyAlignment="1">
      <alignment horizontal="right" vertical="top"/>
    </xf>
    <xf numFmtId="0" fontId="3" fillId="4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9" fillId="4" borderId="69" xfId="0" applyFont="1" applyFill="1" applyBorder="1" applyAlignment="1">
      <alignment horizontal="center" vertical="center" wrapText="1" readingOrder="2"/>
    </xf>
    <xf numFmtId="0" fontId="19" fillId="4" borderId="70" xfId="0" applyFont="1" applyFill="1" applyBorder="1" applyAlignment="1">
      <alignment horizontal="center" vertical="center" wrapText="1" readingOrder="2"/>
    </xf>
    <xf numFmtId="0" fontId="37" fillId="31" borderId="69" xfId="0" applyFont="1" applyFill="1" applyBorder="1" applyAlignment="1">
      <alignment horizontal="center" vertical="center"/>
    </xf>
    <xf numFmtId="0" fontId="37" fillId="31" borderId="70" xfId="0" applyFont="1" applyFill="1" applyBorder="1" applyAlignment="1">
      <alignment horizontal="center" vertical="center"/>
    </xf>
    <xf numFmtId="0" fontId="14" fillId="0" borderId="69" xfId="0" applyFont="1" applyBorder="1" applyAlignment="1">
      <alignment horizontal="center"/>
    </xf>
    <xf numFmtId="0" fontId="14" fillId="0" borderId="70" xfId="0" applyFont="1" applyBorder="1" applyAlignment="1">
      <alignment horizontal="center"/>
    </xf>
    <xf numFmtId="0" fontId="67" fillId="0" borderId="0" xfId="0" applyFont="1" applyAlignment="1">
      <alignment horizontal="center" wrapText="1"/>
    </xf>
    <xf numFmtId="0" fontId="67" fillId="0" borderId="0" xfId="0" applyFont="1" applyAlignment="1">
      <alignment horizontal="center"/>
    </xf>
    <xf numFmtId="0" fontId="3" fillId="0" borderId="84" xfId="0" applyFont="1" applyBorder="1" applyAlignment="1">
      <alignment horizontal="center" vertical="center"/>
    </xf>
    <xf numFmtId="0" fontId="3" fillId="0" borderId="84" xfId="0" applyFont="1" applyBorder="1" applyAlignment="1">
      <alignment vertical="center"/>
    </xf>
    <xf numFmtId="0" fontId="15" fillId="0" borderId="84" xfId="0" applyFon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3" fillId="33" borderId="84" xfId="0" applyFont="1" applyFill="1" applyBorder="1" applyAlignment="1">
      <alignment horizontal="center" vertical="center"/>
    </xf>
    <xf numFmtId="0" fontId="0" fillId="33" borderId="84" xfId="0" applyFill="1" applyBorder="1" applyAlignment="1">
      <alignment horizontal="center" vertical="center"/>
    </xf>
    <xf numFmtId="0" fontId="3" fillId="4" borderId="84" xfId="0" applyFont="1" applyFill="1" applyBorder="1" applyAlignment="1">
      <alignment vertical="center"/>
    </xf>
    <xf numFmtId="0" fontId="3" fillId="4" borderId="84" xfId="0" applyFont="1" applyFill="1" applyBorder="1" applyAlignment="1">
      <alignment horizontal="center" vertical="center"/>
    </xf>
    <xf numFmtId="0" fontId="0" fillId="4" borderId="84" xfId="0" applyFill="1" applyBorder="1" applyAlignment="1">
      <alignment horizontal="center" vertical="center"/>
    </xf>
    <xf numFmtId="0" fontId="51" fillId="4" borderId="84" xfId="0" applyFont="1" applyFill="1" applyBorder="1" applyAlignment="1">
      <alignment horizontal="center" vertical="center"/>
    </xf>
    <xf numFmtId="0" fontId="68" fillId="4" borderId="84" xfId="0" applyFont="1" applyFill="1" applyBorder="1" applyAlignment="1">
      <alignment horizontal="center" vertical="center"/>
    </xf>
    <xf numFmtId="0" fontId="3" fillId="34" borderId="84" xfId="0" applyFont="1" applyFill="1" applyBorder="1" applyAlignment="1">
      <alignment horizontal="center" vertical="center"/>
    </xf>
    <xf numFmtId="0" fontId="0" fillId="34" borderId="84" xfId="0" applyFill="1" applyBorder="1" applyAlignment="1">
      <alignment horizontal="center" vertical="center"/>
    </xf>
    <xf numFmtId="164" fontId="19" fillId="13" borderId="67" xfId="7" applyFont="1" applyFill="1" applyBorder="1" applyAlignment="1">
      <alignment horizontal="center" vertical="center" wrapText="1" readingOrder="2"/>
    </xf>
    <xf numFmtId="164" fontId="19" fillId="13" borderId="66" xfId="7" applyFont="1" applyFill="1" applyBorder="1" applyAlignment="1">
      <alignment horizontal="center" vertical="center" wrapText="1" readingOrder="2"/>
    </xf>
    <xf numFmtId="0" fontId="3" fillId="0" borderId="76" xfId="0" applyFont="1" applyBorder="1" applyAlignment="1">
      <alignment horizontal="center" vertical="center"/>
    </xf>
    <xf numFmtId="0" fontId="62" fillId="13" borderId="76" xfId="0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19" fillId="13" borderId="76" xfId="0" applyFont="1" applyFill="1" applyBorder="1" applyAlignment="1">
      <alignment horizontal="center" vertical="center" wrapText="1" readingOrder="2"/>
    </xf>
    <xf numFmtId="0" fontId="19" fillId="13" borderId="77" xfId="0" applyFont="1" applyFill="1" applyBorder="1" applyAlignment="1">
      <alignment horizontal="center" vertical="center" wrapText="1" readingOrder="2"/>
    </xf>
    <xf numFmtId="0" fontId="19" fillId="13" borderId="78" xfId="0" applyFont="1" applyFill="1" applyBorder="1" applyAlignment="1">
      <alignment horizontal="center" vertical="center" wrapText="1" readingOrder="2"/>
    </xf>
    <xf numFmtId="0" fontId="0" fillId="0" borderId="76" xfId="0" applyBorder="1" applyAlignment="1">
      <alignment horizontal="center" vertical="center"/>
    </xf>
    <xf numFmtId="0" fontId="3" fillId="0" borderId="76" xfId="0" applyFont="1" applyBorder="1" applyAlignment="1">
      <alignment horizontal="center" vertical="top"/>
    </xf>
    <xf numFmtId="0" fontId="0" fillId="0" borderId="76" xfId="0" applyBorder="1" applyAlignment="1">
      <alignment horizontal="center"/>
    </xf>
    <xf numFmtId="0" fontId="3" fillId="0" borderId="77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0" fillId="0" borderId="77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78" xfId="0" applyBorder="1" applyAlignment="1">
      <alignment horizontal="center"/>
    </xf>
    <xf numFmtId="0" fontId="42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</cellXfs>
  <cellStyles count="9">
    <cellStyle name="40% - تمييز4" xfId="1" builtinId="43"/>
    <cellStyle name="Comma" xfId="7" builtinId="3"/>
    <cellStyle name="Comma 2" xfId="3" xr:uid="{64D7D772-38D7-4E33-AA31-D7D0BF91E03B}"/>
    <cellStyle name="Percent" xfId="6" builtinId="5"/>
    <cellStyle name="إدخال" xfId="5" builtinId="20"/>
    <cellStyle name="ارتباط تشعبي" xfId="8" builtinId="8"/>
    <cellStyle name="تمييز3" xfId="2" builtinId="37"/>
    <cellStyle name="عادي" xfId="0" builtinId="0"/>
    <cellStyle name="عادي 2" xfId="4" xr:uid="{CDEA7031-73E3-4C43-BBC8-295573F2863A}"/>
  </cellStyles>
  <dxfs count="65"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9" formatCode="dd/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00"/>
        <name val="Arial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9" formatCode="dd/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00"/>
        <name val="Arial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rgb="FFFF993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medium">
          <color auto="1"/>
        </top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minor"/>
      </font>
      <alignment vertical="center" textRotation="0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SA"/>
              <a:t>مؤشرمبيعات اللترات شهر مايو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>
        <c:manualLayout>
          <c:layoutTarget val="inner"/>
          <c:xMode val="edge"/>
          <c:yMode val="edge"/>
          <c:x val="7.4328201512124423E-2"/>
          <c:y val="8.332996935272971E-2"/>
          <c:w val="0.77825340185458292"/>
          <c:h val="0.84797360715470327"/>
        </c:manualLayout>
      </c:layout>
      <c:barChart>
        <c:barDir val="bar"/>
        <c:grouping val="clustered"/>
        <c:varyColors val="0"/>
        <c:ser>
          <c:idx val="1"/>
          <c:order val="0"/>
          <c:tx>
            <c:v>ديزل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مبيعات!$G$8:$G$28</c:f>
              <c:numCache>
                <c:formatCode>General</c:formatCode>
                <c:ptCount val="21"/>
                <c:pt idx="0">
                  <c:v>2861.25</c:v>
                </c:pt>
                <c:pt idx="1">
                  <c:v>4260</c:v>
                </c:pt>
                <c:pt idx="2">
                  <c:v>3502.5</c:v>
                </c:pt>
                <c:pt idx="3">
                  <c:v>3502.5</c:v>
                </c:pt>
                <c:pt idx="4">
                  <c:v>1097.25</c:v>
                </c:pt>
                <c:pt idx="5">
                  <c:v>3783.75</c:v>
                </c:pt>
                <c:pt idx="6">
                  <c:v>3141.75</c:v>
                </c:pt>
                <c:pt idx="7">
                  <c:v>2417.25</c:v>
                </c:pt>
                <c:pt idx="8">
                  <c:v>5160.75</c:v>
                </c:pt>
                <c:pt idx="9">
                  <c:v>4008</c:v>
                </c:pt>
                <c:pt idx="10">
                  <c:v>3761.25</c:v>
                </c:pt>
                <c:pt idx="11">
                  <c:v>1131</c:v>
                </c:pt>
                <c:pt idx="12">
                  <c:v>5053.5</c:v>
                </c:pt>
                <c:pt idx="13">
                  <c:v>4532.25</c:v>
                </c:pt>
                <c:pt idx="14">
                  <c:v>3533.25</c:v>
                </c:pt>
                <c:pt idx="15">
                  <c:v>6470.25</c:v>
                </c:pt>
                <c:pt idx="16">
                  <c:v>3577.5</c:v>
                </c:pt>
                <c:pt idx="17">
                  <c:v>4212.75</c:v>
                </c:pt>
                <c:pt idx="18">
                  <c:v>1462.5</c:v>
                </c:pt>
                <c:pt idx="19">
                  <c:v>5586</c:v>
                </c:pt>
                <c:pt idx="20">
                  <c:v>2718.75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940-45C0-BE87-DBEC82B62B0C}"/>
            </c:ext>
          </c:extLst>
        </c:ser>
        <c:ser>
          <c:idx val="0"/>
          <c:order val="1"/>
          <c:tx>
            <c:v>بنزين 91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مبيعات!$C$8:$C$28</c:f>
              <c:numCache>
                <c:formatCode>General</c:formatCode>
                <c:ptCount val="21"/>
                <c:pt idx="0">
                  <c:v>54288.54</c:v>
                </c:pt>
                <c:pt idx="1">
                  <c:v>56520.86</c:v>
                </c:pt>
                <c:pt idx="2">
                  <c:v>56828.240000000005</c:v>
                </c:pt>
                <c:pt idx="3">
                  <c:v>58493.760000000002</c:v>
                </c:pt>
                <c:pt idx="4">
                  <c:v>49032.560000000005</c:v>
                </c:pt>
                <c:pt idx="5">
                  <c:v>49503.44</c:v>
                </c:pt>
                <c:pt idx="6">
                  <c:v>56898.000000000007</c:v>
                </c:pt>
                <c:pt idx="7">
                  <c:v>55951.880000000005</c:v>
                </c:pt>
                <c:pt idx="8">
                  <c:v>61007.3</c:v>
                </c:pt>
                <c:pt idx="9">
                  <c:v>71207.520000000004</c:v>
                </c:pt>
                <c:pt idx="10">
                  <c:v>71634.8</c:v>
                </c:pt>
                <c:pt idx="11">
                  <c:v>47323.44</c:v>
                </c:pt>
                <c:pt idx="12">
                  <c:v>51356.44</c:v>
                </c:pt>
                <c:pt idx="13">
                  <c:v>59448.600000000006</c:v>
                </c:pt>
                <c:pt idx="14">
                  <c:v>58247.420000000006</c:v>
                </c:pt>
                <c:pt idx="15">
                  <c:v>53484.12</c:v>
                </c:pt>
                <c:pt idx="16">
                  <c:v>61286.340000000004</c:v>
                </c:pt>
                <c:pt idx="17">
                  <c:v>50706.8</c:v>
                </c:pt>
                <c:pt idx="18">
                  <c:v>48352.4</c:v>
                </c:pt>
                <c:pt idx="19">
                  <c:v>54122.86</c:v>
                </c:pt>
                <c:pt idx="20">
                  <c:v>55831.98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8-40A4-BB1F-0DB658A73526}"/>
            </c:ext>
          </c:extLst>
        </c:ser>
        <c:ser>
          <c:idx val="2"/>
          <c:order val="2"/>
          <c:tx>
            <c:v>بنزين 95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مبيعات!$E$8:$E$28</c:f>
              <c:numCache>
                <c:formatCode>General</c:formatCode>
                <c:ptCount val="21"/>
                <c:pt idx="0">
                  <c:v>31396.75</c:v>
                </c:pt>
                <c:pt idx="1">
                  <c:v>33130.270000000004</c:v>
                </c:pt>
                <c:pt idx="2">
                  <c:v>28281.54</c:v>
                </c:pt>
                <c:pt idx="3">
                  <c:v>31573.83</c:v>
                </c:pt>
                <c:pt idx="4">
                  <c:v>26555.010000000002</c:v>
                </c:pt>
                <c:pt idx="5">
                  <c:v>28621.72</c:v>
                </c:pt>
                <c:pt idx="6">
                  <c:v>28039.22</c:v>
                </c:pt>
                <c:pt idx="7">
                  <c:v>28812.780000000002</c:v>
                </c:pt>
                <c:pt idx="8">
                  <c:v>32750.48</c:v>
                </c:pt>
                <c:pt idx="9">
                  <c:v>27265.66</c:v>
                </c:pt>
                <c:pt idx="10">
                  <c:v>29099.370000000003</c:v>
                </c:pt>
                <c:pt idx="11">
                  <c:v>26701.8</c:v>
                </c:pt>
                <c:pt idx="12">
                  <c:v>26874.22</c:v>
                </c:pt>
                <c:pt idx="13">
                  <c:v>28766.18</c:v>
                </c:pt>
                <c:pt idx="14">
                  <c:v>28896.66</c:v>
                </c:pt>
                <c:pt idx="15">
                  <c:v>30958.71</c:v>
                </c:pt>
                <c:pt idx="16">
                  <c:v>28179.02</c:v>
                </c:pt>
                <c:pt idx="17">
                  <c:v>34870.78</c:v>
                </c:pt>
                <c:pt idx="18">
                  <c:v>22778.080000000002</c:v>
                </c:pt>
                <c:pt idx="19">
                  <c:v>26911.5</c:v>
                </c:pt>
                <c:pt idx="20">
                  <c:v>27086.25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D8-40A4-BB1F-0DB658A735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97758864"/>
        <c:axId val="1997758536"/>
        <c:extLst/>
      </c:barChart>
      <c:catAx>
        <c:axId val="19977588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اليوم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97758536"/>
        <c:crosses val="autoZero"/>
        <c:auto val="1"/>
        <c:lblAlgn val="ctr"/>
        <c:lblOffset val="100"/>
        <c:noMultiLvlLbl val="0"/>
      </c:catAx>
      <c:valAx>
        <c:axId val="199775853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اللترات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97758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0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0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133351</xdr:colOff>
      <xdr:row>4</xdr:row>
      <xdr:rowOff>180976</xdr:rowOff>
    </xdr:from>
    <xdr:to>
      <xdr:col>15</xdr:col>
      <xdr:colOff>581026</xdr:colOff>
      <xdr:row>40</xdr:row>
      <xdr:rowOff>104775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E3E4EEAA-3CF0-4371-86D7-46482BDB8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516468</xdr:colOff>
      <xdr:row>0</xdr:row>
      <xdr:rowOff>64560</xdr:rowOff>
    </xdr:from>
    <xdr:ext cx="1495425" cy="723899"/>
    <xdr:pic>
      <xdr:nvPicPr>
        <xdr:cNvPr id="7" name="image1.jpeg">
          <a:extLst>
            <a:ext uri="{FF2B5EF4-FFF2-40B4-BE49-F238E27FC236}">
              <a16:creationId xmlns:a16="http://schemas.microsoft.com/office/drawing/2014/main" id="{5FD04EDF-D8FC-447C-B7A0-67DD4717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9871857" y="64560"/>
          <a:ext cx="1495425" cy="723899"/>
        </a:xfrm>
        <a:prstGeom prst="rect">
          <a:avLst/>
        </a:prstGeom>
      </xdr:spPr>
    </xdr:pic>
    <xdr:clientData/>
  </xdr:oneCellAnchor>
  <xdr:twoCellAnchor>
    <xdr:from>
      <xdr:col>5</xdr:col>
      <xdr:colOff>628650</xdr:colOff>
      <xdr:row>0</xdr:row>
      <xdr:rowOff>161925</xdr:rowOff>
    </xdr:from>
    <xdr:to>
      <xdr:col>9</xdr:col>
      <xdr:colOff>771525</xdr:colOff>
      <xdr:row>2</xdr:row>
      <xdr:rowOff>152400</xdr:rowOff>
    </xdr:to>
    <xdr:sp macro="" textlink="">
      <xdr:nvSpPr>
        <xdr:cNvPr id="9" name="مخطط انسيابي: معالجة متعاقبة 8">
          <a:extLst>
            <a:ext uri="{FF2B5EF4-FFF2-40B4-BE49-F238E27FC236}">
              <a16:creationId xmlns:a16="http://schemas.microsoft.com/office/drawing/2014/main" id="{313E9EB2-A661-417D-8E49-429946DD49A9}"/>
            </a:ext>
          </a:extLst>
        </xdr:cNvPr>
        <xdr:cNvSpPr/>
      </xdr:nvSpPr>
      <xdr:spPr>
        <a:xfrm>
          <a:off x="11229422550" y="161925"/>
          <a:ext cx="3552825" cy="390525"/>
        </a:xfrm>
        <a:prstGeom prst="flowChartAlternateProcess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400" b="0">
              <a:solidFill>
                <a:sysClr val="windowText" lastClr="000000"/>
              </a:solidFill>
            </a:rPr>
            <a:t>مبيعات</a:t>
          </a:r>
          <a:r>
            <a:rPr lang="ar-SA" sz="2400" b="0" baseline="0">
              <a:solidFill>
                <a:sysClr val="windowText" lastClr="000000"/>
              </a:solidFill>
            </a:rPr>
            <a:t> اللترات شهر  مايو</a:t>
          </a:r>
        </a:p>
        <a:p>
          <a:pPr algn="ctr" rtl="1"/>
          <a:endParaRPr lang="ar-SA" sz="2400" b="0" baseline="0">
            <a:solidFill>
              <a:sysClr val="windowText" lastClr="000000"/>
            </a:solidFill>
          </a:endParaRPr>
        </a:p>
        <a:p>
          <a:pPr algn="ctr" rtl="1"/>
          <a:r>
            <a:rPr lang="ar-SA" sz="1100" baseline="0">
              <a:solidFill>
                <a:sysClr val="windowText" lastClr="000000"/>
              </a:solidFill>
            </a:rPr>
            <a:t>)</a:t>
          </a:r>
          <a:endParaRPr lang="ar-SA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314325</xdr:colOff>
      <xdr:row>0</xdr:row>
      <xdr:rowOff>47625</xdr:rowOff>
    </xdr:from>
    <xdr:ext cx="1257300" cy="1009650"/>
    <xdr:pic>
      <xdr:nvPicPr>
        <xdr:cNvPr id="2" name="image1.jpeg">
          <a:extLst>
            <a:ext uri="{FF2B5EF4-FFF2-40B4-BE49-F238E27FC236}">
              <a16:creationId xmlns:a16="http://schemas.microsoft.com/office/drawing/2014/main" id="{69C817A5-B08A-4892-BBBA-B08438309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041925" y="47625"/>
          <a:ext cx="1257300" cy="10096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0</xdr:row>
      <xdr:rowOff>104775</xdr:rowOff>
    </xdr:from>
    <xdr:ext cx="1257300" cy="1009650"/>
    <xdr:pic>
      <xdr:nvPicPr>
        <xdr:cNvPr id="2" name="image1.jpeg">
          <a:extLst>
            <a:ext uri="{FF2B5EF4-FFF2-40B4-BE49-F238E27FC236}">
              <a16:creationId xmlns:a16="http://schemas.microsoft.com/office/drawing/2014/main" id="{EC114E3C-3907-41B2-9B46-DBEE68168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099075" y="104775"/>
          <a:ext cx="1257300" cy="10096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0</xdr:row>
      <xdr:rowOff>57150</xdr:rowOff>
    </xdr:from>
    <xdr:ext cx="1257300" cy="1009650"/>
    <xdr:pic>
      <xdr:nvPicPr>
        <xdr:cNvPr id="3" name="image1.jpeg">
          <a:extLst>
            <a:ext uri="{FF2B5EF4-FFF2-40B4-BE49-F238E27FC236}">
              <a16:creationId xmlns:a16="http://schemas.microsoft.com/office/drawing/2014/main" id="{71081951-AF18-44E6-9B29-FB27985AD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851425" y="57150"/>
          <a:ext cx="1257300" cy="10096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43</xdr:row>
      <xdr:rowOff>85724</xdr:rowOff>
    </xdr:from>
    <xdr:to>
      <xdr:col>5</xdr:col>
      <xdr:colOff>219074</xdr:colOff>
      <xdr:row>44</xdr:row>
      <xdr:rowOff>142874</xdr:rowOff>
    </xdr:to>
    <xdr:sp macro="" textlink="">
      <xdr:nvSpPr>
        <xdr:cNvPr id="3" name="مستطيل 2">
          <a:extLst>
            <a:ext uri="{FF2B5EF4-FFF2-40B4-BE49-F238E27FC236}">
              <a16:creationId xmlns:a16="http://schemas.microsoft.com/office/drawing/2014/main" id="{912C9F09-666B-4AA1-ADF6-ECF44F219B44}"/>
            </a:ext>
          </a:extLst>
        </xdr:cNvPr>
        <xdr:cNvSpPr/>
      </xdr:nvSpPr>
      <xdr:spPr>
        <a:xfrm>
          <a:off x="11233508776" y="10801349"/>
          <a:ext cx="3543300" cy="238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marL="0" indent="0" algn="ctr" rtl="1"/>
          <a:r>
            <a:rPr lang="ar-SA" sz="1100" b="1">
              <a:solidFill>
                <a:schemeClr val="dk1"/>
              </a:solidFill>
              <a:latin typeface="+mn-lt"/>
              <a:ea typeface="+mn-ea"/>
              <a:cs typeface="+mn-cs"/>
            </a:rPr>
            <a:t>سعد محمد احمد لبدان</a:t>
          </a:r>
        </a:p>
      </xdr:txBody>
    </xdr:sp>
    <xdr:clientData/>
  </xdr:twoCellAnchor>
  <xdr:twoCellAnchor>
    <xdr:from>
      <xdr:col>2</xdr:col>
      <xdr:colOff>628650</xdr:colOff>
      <xdr:row>1</xdr:row>
      <xdr:rowOff>171450</xdr:rowOff>
    </xdr:from>
    <xdr:to>
      <xdr:col>4</xdr:col>
      <xdr:colOff>857250</xdr:colOff>
      <xdr:row>6</xdr:row>
      <xdr:rowOff>9525</xdr:rowOff>
    </xdr:to>
    <xdr:sp macro="" textlink="">
      <xdr:nvSpPr>
        <xdr:cNvPr id="5" name="مخطط انسيابي: معالجة متعاقبة 4">
          <a:extLst>
            <a:ext uri="{FF2B5EF4-FFF2-40B4-BE49-F238E27FC236}">
              <a16:creationId xmlns:a16="http://schemas.microsoft.com/office/drawing/2014/main" id="{6F24284F-ADAE-8601-1580-A05F4E3584D3}"/>
            </a:ext>
          </a:extLst>
        </xdr:cNvPr>
        <xdr:cNvSpPr/>
      </xdr:nvSpPr>
      <xdr:spPr>
        <a:xfrm>
          <a:off x="11234061225" y="352425"/>
          <a:ext cx="2609850" cy="742950"/>
        </a:xfrm>
        <a:prstGeom prst="flowChartAlternateProcess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400">
              <a:solidFill>
                <a:sysClr val="windowText" lastClr="000000"/>
              </a:solidFill>
            </a:rPr>
            <a:t>سجل الردود</a:t>
          </a:r>
          <a:r>
            <a:rPr lang="ar-SA" sz="2400" baseline="0">
              <a:solidFill>
                <a:sysClr val="windowText" lastClr="000000"/>
              </a:solidFill>
            </a:rPr>
            <a:t> المستلمة</a:t>
          </a:r>
          <a:endParaRPr lang="ar-SA" sz="24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5</xdr:col>
      <xdr:colOff>247650</xdr:colOff>
      <xdr:row>1</xdr:row>
      <xdr:rowOff>19050</xdr:rowOff>
    </xdr:from>
    <xdr:ext cx="2105025" cy="1057275"/>
    <xdr:pic>
      <xdr:nvPicPr>
        <xdr:cNvPr id="6" name="image1.jpeg">
          <a:extLst>
            <a:ext uri="{FF2B5EF4-FFF2-40B4-BE49-F238E27FC236}">
              <a16:creationId xmlns:a16="http://schemas.microsoft.com/office/drawing/2014/main" id="{93BD373A-6719-4984-ADE5-6A6E7AB1B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375175" y="200025"/>
          <a:ext cx="2105025" cy="10572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36</xdr:row>
      <xdr:rowOff>133350</xdr:rowOff>
    </xdr:from>
    <xdr:to>
      <xdr:col>5</xdr:col>
      <xdr:colOff>409575</xdr:colOff>
      <xdr:row>38</xdr:row>
      <xdr:rowOff>142875</xdr:rowOff>
    </xdr:to>
    <xdr:sp macro="" textlink="">
      <xdr:nvSpPr>
        <xdr:cNvPr id="3" name="مستطيل 2">
          <a:extLst>
            <a:ext uri="{FF2B5EF4-FFF2-40B4-BE49-F238E27FC236}">
              <a16:creationId xmlns:a16="http://schemas.microsoft.com/office/drawing/2014/main" id="{AB37082A-A428-4AED-88BF-FC48237662AD}"/>
            </a:ext>
          </a:extLst>
        </xdr:cNvPr>
        <xdr:cNvSpPr/>
      </xdr:nvSpPr>
      <xdr:spPr>
        <a:xfrm>
          <a:off x="11232908700" y="8915400"/>
          <a:ext cx="2828925" cy="3714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marL="0" indent="0" algn="ctr" rtl="1"/>
          <a:r>
            <a:rPr lang="ar-SA" sz="1100" b="1">
              <a:solidFill>
                <a:schemeClr val="dk1"/>
              </a:solidFill>
              <a:latin typeface="+mn-lt"/>
              <a:ea typeface="+mn-ea"/>
              <a:cs typeface="+mn-cs"/>
            </a:rPr>
            <a:t>سعد محمد احمد لبدان</a:t>
          </a:r>
        </a:p>
      </xdr:txBody>
    </xdr:sp>
    <xdr:clientData/>
  </xdr:twoCellAnchor>
  <xdr:oneCellAnchor>
    <xdr:from>
      <xdr:col>5</xdr:col>
      <xdr:colOff>342899</xdr:colOff>
      <xdr:row>1</xdr:row>
      <xdr:rowOff>19050</xdr:rowOff>
    </xdr:from>
    <xdr:ext cx="2019300" cy="1028700"/>
    <xdr:pic>
      <xdr:nvPicPr>
        <xdr:cNvPr id="5" name="image1.jpeg">
          <a:extLst>
            <a:ext uri="{FF2B5EF4-FFF2-40B4-BE49-F238E27FC236}">
              <a16:creationId xmlns:a16="http://schemas.microsoft.com/office/drawing/2014/main" id="{564A47EC-487B-4EA6-99BB-8E0E0788C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365651" y="200025"/>
          <a:ext cx="2019300" cy="1028700"/>
        </a:xfrm>
        <a:prstGeom prst="rect">
          <a:avLst/>
        </a:prstGeom>
      </xdr:spPr>
    </xdr:pic>
    <xdr:clientData/>
  </xdr:oneCellAnchor>
  <xdr:twoCellAnchor>
    <xdr:from>
      <xdr:col>2</xdr:col>
      <xdr:colOff>523873</xdr:colOff>
      <xdr:row>2</xdr:row>
      <xdr:rowOff>19051</xdr:rowOff>
    </xdr:from>
    <xdr:to>
      <xdr:col>4</xdr:col>
      <xdr:colOff>819149</xdr:colOff>
      <xdr:row>6</xdr:row>
      <xdr:rowOff>19051</xdr:rowOff>
    </xdr:to>
    <xdr:sp macro="" textlink="">
      <xdr:nvSpPr>
        <xdr:cNvPr id="6" name="مخطط انسيابي: معالجة متعاقبة 5">
          <a:extLst>
            <a:ext uri="{FF2B5EF4-FFF2-40B4-BE49-F238E27FC236}">
              <a16:creationId xmlns:a16="http://schemas.microsoft.com/office/drawing/2014/main" id="{9F325A68-E08D-D521-F87E-0E857F09AE41}"/>
            </a:ext>
          </a:extLst>
        </xdr:cNvPr>
        <xdr:cNvSpPr/>
      </xdr:nvSpPr>
      <xdr:spPr>
        <a:xfrm>
          <a:off x="11234099326" y="381001"/>
          <a:ext cx="2676526" cy="723900"/>
        </a:xfrm>
        <a:prstGeom prst="flowChartAlternateProcess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400">
              <a:solidFill>
                <a:schemeClr val="tx1"/>
              </a:solidFill>
            </a:rPr>
            <a:t>سجل الردور المستلمة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733426</xdr:colOff>
      <xdr:row>37</xdr:row>
      <xdr:rowOff>104776</xdr:rowOff>
    </xdr:from>
    <xdr:to>
      <xdr:col>5</xdr:col>
      <xdr:colOff>76201</xdr:colOff>
      <xdr:row>39</xdr:row>
      <xdr:rowOff>28576</xdr:rowOff>
    </xdr:to>
    <xdr:sp macro="" textlink="">
      <xdr:nvSpPr>
        <xdr:cNvPr id="3" name="مستطيل 2">
          <a:extLst>
            <a:ext uri="{FF2B5EF4-FFF2-40B4-BE49-F238E27FC236}">
              <a16:creationId xmlns:a16="http://schemas.microsoft.com/office/drawing/2014/main" id="{5A40215B-7C6F-4AA2-92BC-5B240C96B8A2}"/>
            </a:ext>
          </a:extLst>
        </xdr:cNvPr>
        <xdr:cNvSpPr/>
      </xdr:nvSpPr>
      <xdr:spPr>
        <a:xfrm>
          <a:off x="11232927749" y="9115426"/>
          <a:ext cx="2590800" cy="285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marL="0" indent="0" algn="ctr" rtl="1"/>
          <a:r>
            <a:rPr lang="ar-SA" sz="1100" b="1">
              <a:solidFill>
                <a:schemeClr val="dk1"/>
              </a:solidFill>
              <a:latin typeface="+mn-lt"/>
              <a:ea typeface="+mn-ea"/>
              <a:cs typeface="+mn-cs"/>
            </a:rPr>
            <a:t>سعد محمد احمد لبدان</a:t>
          </a:r>
        </a:p>
      </xdr:txBody>
    </xdr:sp>
    <xdr:clientData/>
  </xdr:twoCellAnchor>
  <xdr:oneCellAnchor>
    <xdr:from>
      <xdr:col>5</xdr:col>
      <xdr:colOff>314325</xdr:colOff>
      <xdr:row>1</xdr:row>
      <xdr:rowOff>19050</xdr:rowOff>
    </xdr:from>
    <xdr:ext cx="2047875" cy="1057275"/>
    <xdr:pic>
      <xdr:nvPicPr>
        <xdr:cNvPr id="5" name="image1.jpeg">
          <a:extLst>
            <a:ext uri="{FF2B5EF4-FFF2-40B4-BE49-F238E27FC236}">
              <a16:creationId xmlns:a16="http://schemas.microsoft.com/office/drawing/2014/main" id="{2DEBE7B2-E639-4F8D-9C8D-56E8AFF92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365650" y="200025"/>
          <a:ext cx="2047875" cy="1057275"/>
        </a:xfrm>
        <a:prstGeom prst="rect">
          <a:avLst/>
        </a:prstGeom>
      </xdr:spPr>
    </xdr:pic>
    <xdr:clientData/>
  </xdr:oneCellAnchor>
  <xdr:twoCellAnchor>
    <xdr:from>
      <xdr:col>2</xdr:col>
      <xdr:colOff>638174</xdr:colOff>
      <xdr:row>2</xdr:row>
      <xdr:rowOff>0</xdr:rowOff>
    </xdr:from>
    <xdr:to>
      <xdr:col>4</xdr:col>
      <xdr:colOff>866774</xdr:colOff>
      <xdr:row>5</xdr:row>
      <xdr:rowOff>180974</xdr:rowOff>
    </xdr:to>
    <xdr:sp macro="" textlink="">
      <xdr:nvSpPr>
        <xdr:cNvPr id="6" name="مخطط انسيابي: معالجة متعاقبة 5">
          <a:extLst>
            <a:ext uri="{FF2B5EF4-FFF2-40B4-BE49-F238E27FC236}">
              <a16:creationId xmlns:a16="http://schemas.microsoft.com/office/drawing/2014/main" id="{CA585ABB-DDD7-0F84-1641-E708F82BA0E1}"/>
            </a:ext>
          </a:extLst>
        </xdr:cNvPr>
        <xdr:cNvSpPr/>
      </xdr:nvSpPr>
      <xdr:spPr>
        <a:xfrm>
          <a:off x="11234051701" y="361950"/>
          <a:ext cx="2609850" cy="723899"/>
        </a:xfrm>
        <a:prstGeom prst="flowChartAlternateProcess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400">
              <a:solidFill>
                <a:schemeClr val="tx1"/>
              </a:solidFill>
            </a:rPr>
            <a:t>سجل</a:t>
          </a:r>
          <a:r>
            <a:rPr lang="ar-SA" sz="2400" baseline="0">
              <a:solidFill>
                <a:schemeClr val="tx1"/>
              </a:solidFill>
            </a:rPr>
            <a:t> الردود المستلمة</a:t>
          </a:r>
          <a:endParaRPr lang="ar-SA" sz="2400">
            <a:solidFill>
              <a:schemeClr val="tx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257174</xdr:colOff>
      <xdr:row>8</xdr:row>
      <xdr:rowOff>9525</xdr:rowOff>
    </xdr:from>
    <xdr:ext cx="1752600" cy="704850"/>
    <xdr:pic>
      <xdr:nvPicPr>
        <xdr:cNvPr id="9" name="image1.jpeg">
          <a:extLst>
            <a:ext uri="{FF2B5EF4-FFF2-40B4-BE49-F238E27FC236}">
              <a16:creationId xmlns:a16="http://schemas.microsoft.com/office/drawing/2014/main" id="{565994C5-49B6-437E-BD6A-D929AD62B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651026" y="12649200"/>
          <a:ext cx="1752600" cy="704850"/>
        </a:xfrm>
        <a:prstGeom prst="rect">
          <a:avLst/>
        </a:prstGeom>
      </xdr:spPr>
    </xdr:pic>
    <xdr:clientData/>
  </xdr:oneCellAnchor>
  <xdr:oneCellAnchor>
    <xdr:from>
      <xdr:col>8</xdr:col>
      <xdr:colOff>257174</xdr:colOff>
      <xdr:row>53</xdr:row>
      <xdr:rowOff>9525</xdr:rowOff>
    </xdr:from>
    <xdr:ext cx="1752600" cy="704850"/>
    <xdr:pic>
      <xdr:nvPicPr>
        <xdr:cNvPr id="11" name="image1.jpeg">
          <a:extLst>
            <a:ext uri="{FF2B5EF4-FFF2-40B4-BE49-F238E27FC236}">
              <a16:creationId xmlns:a16="http://schemas.microsoft.com/office/drawing/2014/main" id="{45D3D73C-1447-4D85-871B-2C68B813C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651026" y="32918400"/>
          <a:ext cx="1752600" cy="704850"/>
        </a:xfrm>
        <a:prstGeom prst="rect">
          <a:avLst/>
        </a:prstGeom>
      </xdr:spPr>
    </xdr:pic>
    <xdr:clientData/>
  </xdr:oneCellAnchor>
  <xdr:oneCellAnchor>
    <xdr:from>
      <xdr:col>8</xdr:col>
      <xdr:colOff>257174</xdr:colOff>
      <xdr:row>99</xdr:row>
      <xdr:rowOff>9525</xdr:rowOff>
    </xdr:from>
    <xdr:ext cx="1752600" cy="704850"/>
    <xdr:pic>
      <xdr:nvPicPr>
        <xdr:cNvPr id="4" name="image1.jpeg">
          <a:extLst>
            <a:ext uri="{FF2B5EF4-FFF2-40B4-BE49-F238E27FC236}">
              <a16:creationId xmlns:a16="http://schemas.microsoft.com/office/drawing/2014/main" id="{97B0E8D3-E47A-477E-B60D-FDD3549EE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651026" y="11049000"/>
          <a:ext cx="1752600" cy="704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257174</xdr:colOff>
      <xdr:row>0</xdr:row>
      <xdr:rowOff>47625</xdr:rowOff>
    </xdr:from>
    <xdr:ext cx="1752600" cy="962025"/>
    <xdr:pic>
      <xdr:nvPicPr>
        <xdr:cNvPr id="3" name="image1.jpeg">
          <a:extLst>
            <a:ext uri="{FF2B5EF4-FFF2-40B4-BE49-F238E27FC236}">
              <a16:creationId xmlns:a16="http://schemas.microsoft.com/office/drawing/2014/main" id="{9C99973E-2B00-4F67-9967-C906C1FD9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336826" y="47625"/>
          <a:ext cx="1752600" cy="962025"/>
        </a:xfrm>
        <a:prstGeom prst="rect">
          <a:avLst/>
        </a:prstGeom>
      </xdr:spPr>
    </xdr:pic>
    <xdr:clientData/>
  </xdr:oneCellAnchor>
  <xdr:oneCellAnchor>
    <xdr:from>
      <xdr:col>7</xdr:col>
      <xdr:colOff>257174</xdr:colOff>
      <xdr:row>46</xdr:row>
      <xdr:rowOff>47625</xdr:rowOff>
    </xdr:from>
    <xdr:ext cx="1752600" cy="962025"/>
    <xdr:pic>
      <xdr:nvPicPr>
        <xdr:cNvPr id="4" name="image1.jpeg">
          <a:extLst>
            <a:ext uri="{FF2B5EF4-FFF2-40B4-BE49-F238E27FC236}">
              <a16:creationId xmlns:a16="http://schemas.microsoft.com/office/drawing/2014/main" id="{1C168B5D-D089-4149-9FB2-5DC8820F6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774976" y="47625"/>
          <a:ext cx="1752600" cy="96202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304799</xdr:colOff>
      <xdr:row>3</xdr:row>
      <xdr:rowOff>19050</xdr:rowOff>
    </xdr:from>
    <xdr:ext cx="1733551" cy="1019175"/>
    <xdr:pic>
      <xdr:nvPicPr>
        <xdr:cNvPr id="4" name="image1.jpeg">
          <a:extLst>
            <a:ext uri="{FF2B5EF4-FFF2-40B4-BE49-F238E27FC236}">
              <a16:creationId xmlns:a16="http://schemas.microsoft.com/office/drawing/2014/main" id="{C76447E7-A968-437B-8420-1C5D617C8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384450" y="200025"/>
          <a:ext cx="1733551" cy="10191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657225</xdr:colOff>
      <xdr:row>4</xdr:row>
      <xdr:rowOff>0</xdr:rowOff>
    </xdr:from>
    <xdr:ext cx="1409700" cy="1066800"/>
    <xdr:pic>
      <xdr:nvPicPr>
        <xdr:cNvPr id="10" name="image1.jpeg">
          <a:extLst>
            <a:ext uri="{FF2B5EF4-FFF2-40B4-BE49-F238E27FC236}">
              <a16:creationId xmlns:a16="http://schemas.microsoft.com/office/drawing/2014/main" id="{166D05ED-A4C7-428D-9FA7-04BD90659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099075" y="0"/>
          <a:ext cx="1409700" cy="1066800"/>
        </a:xfrm>
        <a:prstGeom prst="rect">
          <a:avLst/>
        </a:prstGeom>
      </xdr:spPr>
    </xdr:pic>
    <xdr:clientData/>
  </xdr:oneCellAnchor>
  <xdr:oneCellAnchor>
    <xdr:from>
      <xdr:col>4</xdr:col>
      <xdr:colOff>666750</xdr:colOff>
      <xdr:row>66</xdr:row>
      <xdr:rowOff>161925</xdr:rowOff>
    </xdr:from>
    <xdr:ext cx="1409700" cy="1066800"/>
    <xdr:pic>
      <xdr:nvPicPr>
        <xdr:cNvPr id="3" name="image1.jpeg">
          <a:extLst>
            <a:ext uri="{FF2B5EF4-FFF2-40B4-BE49-F238E27FC236}">
              <a16:creationId xmlns:a16="http://schemas.microsoft.com/office/drawing/2014/main" id="{F830C8B1-81AD-4F21-8ECB-5A932FCB2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089550" y="13096875"/>
          <a:ext cx="1409700" cy="1066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180974</xdr:rowOff>
    </xdr:from>
    <xdr:ext cx="5972175" cy="638175"/>
    <xdr:pic>
      <xdr:nvPicPr>
        <xdr:cNvPr id="4" name="image1.png">
          <a:extLst>
            <a:ext uri="{FF2B5EF4-FFF2-40B4-BE49-F238E27FC236}">
              <a16:creationId xmlns:a16="http://schemas.microsoft.com/office/drawing/2014/main" id="{C46FF6E8-136C-4763-98E5-8186B58507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9238"/>
        <a:stretch/>
      </xdr:blipFill>
      <xdr:spPr bwMode="auto">
        <a:xfrm>
          <a:off x="11231994300" y="11210924"/>
          <a:ext cx="5972175" cy="638175"/>
        </a:xfrm>
        <a:prstGeom prst="rect">
          <a:avLst/>
        </a:prstGeom>
        <a:ln w="9525" cap="flat" cmpd="sng" algn="ctr">
          <a:solidFill>
            <a:sysClr val="window" lastClr="FFFFFF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0">
                <a:custGeom>
                  <a:avLst/>
                  <a:gdLst/>
                  <a:ahLst/>
                  <a:cxnLst/>
                  <a:rect l="0" t="0" r="0" b="0"/>
                  <a:pathLst/>
                </a:custGeom>
                <ask:type/>
              </ask:lineSketchStyleProps>
            </a:ext>
          </a:extLst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511175</xdr:colOff>
      <xdr:row>0</xdr:row>
      <xdr:rowOff>158750</xdr:rowOff>
    </xdr:from>
    <xdr:ext cx="1409700" cy="1244600"/>
    <xdr:pic>
      <xdr:nvPicPr>
        <xdr:cNvPr id="2" name="image1.jpeg">
          <a:extLst>
            <a:ext uri="{FF2B5EF4-FFF2-40B4-BE49-F238E27FC236}">
              <a16:creationId xmlns:a16="http://schemas.microsoft.com/office/drawing/2014/main" id="{906265CB-0094-4781-8109-B1EBD46A1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793750" y="158750"/>
          <a:ext cx="1409700" cy="1244600"/>
        </a:xfrm>
        <a:prstGeom prst="rect">
          <a:avLst/>
        </a:prstGeom>
      </xdr:spPr>
    </xdr:pic>
    <xdr:clientData/>
  </xdr:oneCellAnchor>
  <xdr:oneCellAnchor>
    <xdr:from>
      <xdr:col>8</xdr:col>
      <xdr:colOff>511175</xdr:colOff>
      <xdr:row>35</xdr:row>
      <xdr:rowOff>158750</xdr:rowOff>
    </xdr:from>
    <xdr:ext cx="1409700" cy="1244600"/>
    <xdr:pic>
      <xdr:nvPicPr>
        <xdr:cNvPr id="3" name="image1.jpeg">
          <a:extLst>
            <a:ext uri="{FF2B5EF4-FFF2-40B4-BE49-F238E27FC236}">
              <a16:creationId xmlns:a16="http://schemas.microsoft.com/office/drawing/2014/main" id="{9D3D6D20-066E-4D2F-B135-03B612AFB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778025" y="158750"/>
          <a:ext cx="1409700" cy="124460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0</xdr:row>
      <xdr:rowOff>92075</xdr:rowOff>
    </xdr:from>
    <xdr:to>
      <xdr:col>11</xdr:col>
      <xdr:colOff>1571626</xdr:colOff>
      <xdr:row>3</xdr:row>
      <xdr:rowOff>203980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24542838-201B-43DC-9604-9F93DAEF9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860699" y="92075"/>
          <a:ext cx="1514476" cy="1083455"/>
        </a:xfrm>
        <a:prstGeom prst="rect">
          <a:avLst/>
        </a:prstGeom>
      </xdr:spPr>
    </xdr:pic>
    <xdr:clientData/>
  </xdr:twoCellAnchor>
  <xdr:twoCellAnchor editAs="oneCell">
    <xdr:from>
      <xdr:col>2</xdr:col>
      <xdr:colOff>77559</xdr:colOff>
      <xdr:row>32</xdr:row>
      <xdr:rowOff>142875</xdr:rowOff>
    </xdr:from>
    <xdr:to>
      <xdr:col>10</xdr:col>
      <xdr:colOff>2686050</xdr:colOff>
      <xdr:row>38</xdr:row>
      <xdr:rowOff>28575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6D5DB633-F7EF-43E2-8AED-667BF5E90B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9238"/>
        <a:stretch/>
      </xdr:blipFill>
      <xdr:spPr bwMode="auto">
        <a:xfrm>
          <a:off x="11230375050" y="6896100"/>
          <a:ext cx="11495316" cy="971550"/>
        </a:xfrm>
        <a:prstGeom prst="rect">
          <a:avLst/>
        </a:prstGeom>
        <a:ln w="9525" cap="flat" cmpd="sng" algn="ctr">
          <a:solidFill>
            <a:sysClr val="window" lastClr="FFFFFF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0">
                <a:custGeom>
                  <a:avLst/>
                  <a:gdLst/>
                  <a:ahLst/>
                  <a:cxnLst/>
                  <a:rect l="0" t="0" r="0" b="0"/>
                  <a:pathLst/>
                </a:custGeom>
                <ask:type/>
              </ask:lineSketchStyleProps>
            </a:ext>
          </a:extLst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200025</xdr:colOff>
      <xdr:row>1</xdr:row>
      <xdr:rowOff>123826</xdr:rowOff>
    </xdr:from>
    <xdr:ext cx="1752600" cy="1438274"/>
    <xdr:pic>
      <xdr:nvPicPr>
        <xdr:cNvPr id="2" name="image1.jpeg">
          <a:extLst>
            <a:ext uri="{FF2B5EF4-FFF2-40B4-BE49-F238E27FC236}">
              <a16:creationId xmlns:a16="http://schemas.microsoft.com/office/drawing/2014/main" id="{1E3005B5-0F63-42D3-963C-413AFF93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5279175" y="123826"/>
          <a:ext cx="1752600" cy="1438274"/>
        </a:xfrm>
        <a:prstGeom prst="rect">
          <a:avLst/>
        </a:prstGeom>
      </xdr:spPr>
    </xdr:pic>
    <xdr:clientData/>
  </xdr:oneCellAnchor>
  <xdr:oneCellAnchor>
    <xdr:from>
      <xdr:col>13</xdr:col>
      <xdr:colOff>200025</xdr:colOff>
      <xdr:row>35</xdr:row>
      <xdr:rowOff>123826</xdr:rowOff>
    </xdr:from>
    <xdr:ext cx="1752600" cy="1438274"/>
    <xdr:pic>
      <xdr:nvPicPr>
        <xdr:cNvPr id="3" name="image1.jpeg">
          <a:extLst>
            <a:ext uri="{FF2B5EF4-FFF2-40B4-BE49-F238E27FC236}">
              <a16:creationId xmlns:a16="http://schemas.microsoft.com/office/drawing/2014/main" id="{B9590D27-ACED-4A55-90C3-C6476636C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5279175" y="123826"/>
          <a:ext cx="1752600" cy="1438274"/>
        </a:xfrm>
        <a:prstGeom prst="rect">
          <a:avLst/>
        </a:prstGeom>
      </xdr:spPr>
    </xdr:pic>
    <xdr:clientData/>
  </xdr:oneCellAnchor>
  <xdr:oneCellAnchor>
    <xdr:from>
      <xdr:col>13</xdr:col>
      <xdr:colOff>200025</xdr:colOff>
      <xdr:row>65</xdr:row>
      <xdr:rowOff>123826</xdr:rowOff>
    </xdr:from>
    <xdr:ext cx="1752600" cy="1438274"/>
    <xdr:pic>
      <xdr:nvPicPr>
        <xdr:cNvPr id="4" name="image1.jpeg">
          <a:extLst>
            <a:ext uri="{FF2B5EF4-FFF2-40B4-BE49-F238E27FC236}">
              <a16:creationId xmlns:a16="http://schemas.microsoft.com/office/drawing/2014/main" id="{DD84F8FA-D5BF-45B4-8FC9-5A0FE6B2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5279175" y="8743951"/>
          <a:ext cx="1752600" cy="1438274"/>
        </a:xfrm>
        <a:prstGeom prst="rect">
          <a:avLst/>
        </a:prstGeom>
      </xdr:spPr>
    </xdr:pic>
    <xdr:clientData/>
  </xdr:oneCellAnchor>
  <xdr:oneCellAnchor>
    <xdr:from>
      <xdr:col>13</xdr:col>
      <xdr:colOff>200025</xdr:colOff>
      <xdr:row>88</xdr:row>
      <xdr:rowOff>123826</xdr:rowOff>
    </xdr:from>
    <xdr:ext cx="1752600" cy="1438274"/>
    <xdr:pic>
      <xdr:nvPicPr>
        <xdr:cNvPr id="5" name="image1.jpeg">
          <a:extLst>
            <a:ext uri="{FF2B5EF4-FFF2-40B4-BE49-F238E27FC236}">
              <a16:creationId xmlns:a16="http://schemas.microsoft.com/office/drawing/2014/main" id="{DD85EA04-76AD-4E45-8F0F-4C76D8DD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5279175" y="304801"/>
          <a:ext cx="1752600" cy="143827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0</xdr:row>
      <xdr:rowOff>95249</xdr:rowOff>
    </xdr:from>
    <xdr:to>
      <xdr:col>9</xdr:col>
      <xdr:colOff>600075</xdr:colOff>
      <xdr:row>5</xdr:row>
      <xdr:rowOff>28575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684E7155-451C-4BEC-97B2-6BC70D0F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8689125" y="95249"/>
          <a:ext cx="1200150" cy="942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66675</xdr:colOff>
      <xdr:row>52</xdr:row>
      <xdr:rowOff>19050</xdr:rowOff>
    </xdr:from>
    <xdr:to>
      <xdr:col>9</xdr:col>
      <xdr:colOff>542926</xdr:colOff>
      <xdr:row>56</xdr:row>
      <xdr:rowOff>76200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DEE47771-61F3-4D16-8909-53D263DCD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8746274" y="10963275"/>
          <a:ext cx="7334251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</xdr:colOff>
      <xdr:row>1</xdr:row>
      <xdr:rowOff>15876</xdr:rowOff>
    </xdr:from>
    <xdr:ext cx="1543050" cy="1238250"/>
    <xdr:pic>
      <xdr:nvPicPr>
        <xdr:cNvPr id="2" name="image1.jpeg">
          <a:extLst>
            <a:ext uri="{FF2B5EF4-FFF2-40B4-BE49-F238E27FC236}">
              <a16:creationId xmlns:a16="http://schemas.microsoft.com/office/drawing/2014/main" id="{3C72E75E-62DC-4617-864B-3EF69BB32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003325" y="196851"/>
          <a:ext cx="1543050" cy="12382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533400</xdr:colOff>
      <xdr:row>1</xdr:row>
      <xdr:rowOff>9526</xdr:rowOff>
    </xdr:from>
    <xdr:ext cx="1543050" cy="1238250"/>
    <xdr:pic>
      <xdr:nvPicPr>
        <xdr:cNvPr id="3" name="image1.jpeg">
          <a:extLst>
            <a:ext uri="{FF2B5EF4-FFF2-40B4-BE49-F238E27FC236}">
              <a16:creationId xmlns:a16="http://schemas.microsoft.com/office/drawing/2014/main" id="{8830EF34-BDB0-46EC-A04F-FF71B9CE7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5917350" y="190501"/>
          <a:ext cx="1543050" cy="12382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609601</xdr:colOff>
      <xdr:row>1</xdr:row>
      <xdr:rowOff>9526</xdr:rowOff>
    </xdr:from>
    <xdr:ext cx="1495425" cy="723899"/>
    <xdr:pic>
      <xdr:nvPicPr>
        <xdr:cNvPr id="2" name="image1.jpeg">
          <a:extLst>
            <a:ext uri="{FF2B5EF4-FFF2-40B4-BE49-F238E27FC236}">
              <a16:creationId xmlns:a16="http://schemas.microsoft.com/office/drawing/2014/main" id="{699C1FA9-88E4-4162-B320-EFB13CAA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4574324" y="209551"/>
          <a:ext cx="1495425" cy="723899"/>
        </a:xfrm>
        <a:prstGeom prst="rect">
          <a:avLst/>
        </a:prstGeom>
      </xdr:spPr>
    </xdr:pic>
    <xdr:clientData/>
  </xdr:oneCellAnchor>
  <xdr:twoCellAnchor>
    <xdr:from>
      <xdr:col>6</xdr:col>
      <xdr:colOff>0</xdr:colOff>
      <xdr:row>1</xdr:row>
      <xdr:rowOff>9525</xdr:rowOff>
    </xdr:from>
    <xdr:to>
      <xdr:col>10</xdr:col>
      <xdr:colOff>9525</xdr:colOff>
      <xdr:row>2</xdr:row>
      <xdr:rowOff>247650</xdr:rowOff>
    </xdr:to>
    <xdr:sp macro="" textlink="">
      <xdr:nvSpPr>
        <xdr:cNvPr id="3" name="مخطط انسيابي: معالجة متعاقبة 2">
          <a:extLst>
            <a:ext uri="{FF2B5EF4-FFF2-40B4-BE49-F238E27FC236}">
              <a16:creationId xmlns:a16="http://schemas.microsoft.com/office/drawing/2014/main" id="{3CF236B5-2388-4DEB-B624-F89517E8630C}"/>
            </a:ext>
          </a:extLst>
        </xdr:cNvPr>
        <xdr:cNvSpPr/>
      </xdr:nvSpPr>
      <xdr:spPr>
        <a:xfrm>
          <a:off x="11229365400" y="209550"/>
          <a:ext cx="3552825" cy="390525"/>
        </a:xfrm>
        <a:prstGeom prst="flowChartAlternateProcess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400" b="0" baseline="0">
              <a:solidFill>
                <a:sysClr val="windowText" lastClr="000000"/>
              </a:solidFill>
            </a:rPr>
            <a:t>سجل النظافة </a:t>
          </a:r>
          <a:endParaRPr lang="ar-SA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609601</xdr:colOff>
      <xdr:row>22</xdr:row>
      <xdr:rowOff>9526</xdr:rowOff>
    </xdr:from>
    <xdr:ext cx="1495425" cy="723899"/>
    <xdr:pic>
      <xdr:nvPicPr>
        <xdr:cNvPr id="4" name="image1.jpeg">
          <a:extLst>
            <a:ext uri="{FF2B5EF4-FFF2-40B4-BE49-F238E27FC236}">
              <a16:creationId xmlns:a16="http://schemas.microsoft.com/office/drawing/2014/main" id="{56430893-6173-427E-8033-FE965A7A3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4574324" y="209551"/>
          <a:ext cx="1495425" cy="723899"/>
        </a:xfrm>
        <a:prstGeom prst="rect">
          <a:avLst/>
        </a:prstGeom>
      </xdr:spPr>
    </xdr:pic>
    <xdr:clientData/>
  </xdr:oneCellAnchor>
  <xdr:twoCellAnchor>
    <xdr:from>
      <xdr:col>6</xdr:col>
      <xdr:colOff>0</xdr:colOff>
      <xdr:row>22</xdr:row>
      <xdr:rowOff>9525</xdr:rowOff>
    </xdr:from>
    <xdr:to>
      <xdr:col>10</xdr:col>
      <xdr:colOff>9525</xdr:colOff>
      <xdr:row>23</xdr:row>
      <xdr:rowOff>247650</xdr:rowOff>
    </xdr:to>
    <xdr:sp macro="" textlink="">
      <xdr:nvSpPr>
        <xdr:cNvPr id="5" name="مخطط انسيابي: معالجة متعاقبة 4">
          <a:extLst>
            <a:ext uri="{FF2B5EF4-FFF2-40B4-BE49-F238E27FC236}">
              <a16:creationId xmlns:a16="http://schemas.microsoft.com/office/drawing/2014/main" id="{5C27E66E-8B56-40B5-A25B-31710B49E92C}"/>
            </a:ext>
          </a:extLst>
        </xdr:cNvPr>
        <xdr:cNvSpPr/>
      </xdr:nvSpPr>
      <xdr:spPr>
        <a:xfrm>
          <a:off x="11230508400" y="209550"/>
          <a:ext cx="2819400" cy="390525"/>
        </a:xfrm>
        <a:prstGeom prst="flowChartAlternateProcess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400" b="0" baseline="0">
              <a:solidFill>
                <a:sysClr val="windowText" lastClr="000000"/>
              </a:solidFill>
            </a:rPr>
            <a:t>سجل النظافة </a:t>
          </a:r>
          <a:endParaRPr lang="ar-SA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16</xdr:col>
      <xdr:colOff>51326</xdr:colOff>
      <xdr:row>42</xdr:row>
      <xdr:rowOff>9526</xdr:rowOff>
    </xdr:from>
    <xdr:ext cx="1366243" cy="661365"/>
    <xdr:pic>
      <xdr:nvPicPr>
        <xdr:cNvPr id="6" name="image1.jpeg">
          <a:extLst>
            <a:ext uri="{FF2B5EF4-FFF2-40B4-BE49-F238E27FC236}">
              <a16:creationId xmlns:a16="http://schemas.microsoft.com/office/drawing/2014/main" id="{A38FEC6C-DBE9-45E2-A6F7-94E938A6A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1690757" y="8499200"/>
          <a:ext cx="1366243" cy="661365"/>
        </a:xfrm>
        <a:prstGeom prst="rect">
          <a:avLst/>
        </a:prstGeom>
      </xdr:spPr>
    </xdr:pic>
    <xdr:clientData/>
  </xdr:oneCellAnchor>
  <xdr:twoCellAnchor>
    <xdr:from>
      <xdr:col>5</xdr:col>
      <xdr:colOff>621195</xdr:colOff>
      <xdr:row>42</xdr:row>
      <xdr:rowOff>9525</xdr:rowOff>
    </xdr:from>
    <xdr:to>
      <xdr:col>9</xdr:col>
      <xdr:colOff>630720</xdr:colOff>
      <xdr:row>44</xdr:row>
      <xdr:rowOff>1243</xdr:rowOff>
    </xdr:to>
    <xdr:sp macro="" textlink="">
      <xdr:nvSpPr>
        <xdr:cNvPr id="7" name="مخطط انسيابي: معالجة متعاقبة 6">
          <a:extLst>
            <a:ext uri="{FF2B5EF4-FFF2-40B4-BE49-F238E27FC236}">
              <a16:creationId xmlns:a16="http://schemas.microsoft.com/office/drawing/2014/main" id="{D14BACBD-AFB3-4DB0-9A85-7B9D18D752E6}"/>
            </a:ext>
          </a:extLst>
        </xdr:cNvPr>
        <xdr:cNvSpPr/>
      </xdr:nvSpPr>
      <xdr:spPr>
        <a:xfrm>
          <a:off x="11257703932" y="8499199"/>
          <a:ext cx="2825612" cy="389283"/>
        </a:xfrm>
        <a:prstGeom prst="flowChartAlternateProcess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400" b="0" baseline="0">
              <a:solidFill>
                <a:sysClr val="windowText" lastClr="000000"/>
              </a:solidFill>
            </a:rPr>
            <a:t>سجل النظافة </a:t>
          </a:r>
          <a:endParaRPr lang="ar-SA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609601</xdr:colOff>
      <xdr:row>63</xdr:row>
      <xdr:rowOff>9526</xdr:rowOff>
    </xdr:from>
    <xdr:ext cx="1495425" cy="723899"/>
    <xdr:pic>
      <xdr:nvPicPr>
        <xdr:cNvPr id="8" name="image1.jpeg">
          <a:extLst>
            <a:ext uri="{FF2B5EF4-FFF2-40B4-BE49-F238E27FC236}">
              <a16:creationId xmlns:a16="http://schemas.microsoft.com/office/drawing/2014/main" id="{F22D6FFF-EAA5-4B21-8C76-893C1D53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4574324" y="209551"/>
          <a:ext cx="1495425" cy="723899"/>
        </a:xfrm>
        <a:prstGeom prst="rect">
          <a:avLst/>
        </a:prstGeom>
      </xdr:spPr>
    </xdr:pic>
    <xdr:clientData/>
  </xdr:oneCellAnchor>
  <xdr:twoCellAnchor>
    <xdr:from>
      <xdr:col>5</xdr:col>
      <xdr:colOff>676275</xdr:colOff>
      <xdr:row>63</xdr:row>
      <xdr:rowOff>0</xdr:rowOff>
    </xdr:from>
    <xdr:to>
      <xdr:col>10</xdr:col>
      <xdr:colOff>0</xdr:colOff>
      <xdr:row>64</xdr:row>
      <xdr:rowOff>190500</xdr:rowOff>
    </xdr:to>
    <xdr:sp macro="" textlink="">
      <xdr:nvSpPr>
        <xdr:cNvPr id="9" name="مخطط انسيابي: معالجة متعاقبة 8">
          <a:extLst>
            <a:ext uri="{FF2B5EF4-FFF2-40B4-BE49-F238E27FC236}">
              <a16:creationId xmlns:a16="http://schemas.microsoft.com/office/drawing/2014/main" id="{4F912BB8-3586-4CBD-A253-A960B800BE5D}"/>
            </a:ext>
          </a:extLst>
        </xdr:cNvPr>
        <xdr:cNvSpPr/>
      </xdr:nvSpPr>
      <xdr:spPr>
        <a:xfrm>
          <a:off x="11230527450" y="12801600"/>
          <a:ext cx="2819400" cy="390525"/>
        </a:xfrm>
        <a:prstGeom prst="flowChartAlternateProcess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400" b="0" baseline="0">
              <a:solidFill>
                <a:sysClr val="windowText" lastClr="000000"/>
              </a:solidFill>
            </a:rPr>
            <a:t>سجل النظافة </a:t>
          </a:r>
          <a:endParaRPr lang="ar-SA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466725</xdr:colOff>
      <xdr:row>82</xdr:row>
      <xdr:rowOff>57150</xdr:rowOff>
    </xdr:from>
    <xdr:ext cx="1628776" cy="1019175"/>
    <xdr:pic>
      <xdr:nvPicPr>
        <xdr:cNvPr id="10" name="image1.jpeg">
          <a:extLst>
            <a:ext uri="{FF2B5EF4-FFF2-40B4-BE49-F238E27FC236}">
              <a16:creationId xmlns:a16="http://schemas.microsoft.com/office/drawing/2014/main" id="{E13B458F-19C1-46DB-B68F-07B671A33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4583849" y="16583025"/>
          <a:ext cx="1628776" cy="1019175"/>
        </a:xfrm>
        <a:prstGeom prst="rect">
          <a:avLst/>
        </a:prstGeom>
      </xdr:spPr>
    </xdr:pic>
    <xdr:clientData/>
  </xdr:oneCellAnchor>
  <xdr:twoCellAnchor>
    <xdr:from>
      <xdr:col>6</xdr:col>
      <xdr:colOff>0</xdr:colOff>
      <xdr:row>83</xdr:row>
      <xdr:rowOff>9525</xdr:rowOff>
    </xdr:from>
    <xdr:to>
      <xdr:col>10</xdr:col>
      <xdr:colOff>9525</xdr:colOff>
      <xdr:row>84</xdr:row>
      <xdr:rowOff>247650</xdr:rowOff>
    </xdr:to>
    <xdr:sp macro="" textlink="">
      <xdr:nvSpPr>
        <xdr:cNvPr id="11" name="مخطط انسيابي: معالجة متعاقبة 10">
          <a:extLst>
            <a:ext uri="{FF2B5EF4-FFF2-40B4-BE49-F238E27FC236}">
              <a16:creationId xmlns:a16="http://schemas.microsoft.com/office/drawing/2014/main" id="{7A3139CB-D0E2-4B4C-9FA8-C39844DBCEDB}"/>
            </a:ext>
          </a:extLst>
        </xdr:cNvPr>
        <xdr:cNvSpPr/>
      </xdr:nvSpPr>
      <xdr:spPr>
        <a:xfrm>
          <a:off x="11230508400" y="12582525"/>
          <a:ext cx="2819400" cy="390525"/>
        </a:xfrm>
        <a:prstGeom prst="flowChartAlternateProcess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400" b="0" baseline="0">
              <a:solidFill>
                <a:sysClr val="windowText" lastClr="000000"/>
              </a:solidFill>
            </a:rPr>
            <a:t>سجل النظافة </a:t>
          </a:r>
          <a:endParaRPr lang="ar-SA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400050</xdr:colOff>
      <xdr:row>0</xdr:row>
      <xdr:rowOff>66675</xdr:rowOff>
    </xdr:from>
    <xdr:ext cx="1457325" cy="895350"/>
    <xdr:pic>
      <xdr:nvPicPr>
        <xdr:cNvPr id="2" name="image1.jpeg">
          <a:extLst>
            <a:ext uri="{FF2B5EF4-FFF2-40B4-BE49-F238E27FC236}">
              <a16:creationId xmlns:a16="http://schemas.microsoft.com/office/drawing/2014/main" id="{5BD597F9-191A-47C3-BA7F-2577645CF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355875" y="66675"/>
          <a:ext cx="1457325" cy="8953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276225</xdr:colOff>
      <xdr:row>0</xdr:row>
      <xdr:rowOff>9525</xdr:rowOff>
    </xdr:from>
    <xdr:to>
      <xdr:col>6</xdr:col>
      <xdr:colOff>342900</xdr:colOff>
      <xdr:row>4</xdr:row>
      <xdr:rowOff>85725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D2A20D9C-BA42-4C28-9C8F-18F823D49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1908575" y="9525"/>
          <a:ext cx="1438275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41</xdr:row>
      <xdr:rowOff>38100</xdr:rowOff>
    </xdr:from>
    <xdr:to>
      <xdr:col>10</xdr:col>
      <xdr:colOff>609600</xdr:colOff>
      <xdr:row>46</xdr:row>
      <xdr:rowOff>123825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6DDE99B8-094F-4292-A883-61710553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28679600" y="7858125"/>
          <a:ext cx="7572375" cy="990600"/>
        </a:xfrm>
        <a:prstGeom prst="rect">
          <a:avLst/>
        </a:prstGeom>
      </xdr:spPr>
    </xdr:pic>
    <xdr:clientData/>
  </xdr:twoCellAnchor>
  <xdr:oneCellAnchor>
    <xdr:from>
      <xdr:col>4</xdr:col>
      <xdr:colOff>276225</xdr:colOff>
      <xdr:row>55</xdr:row>
      <xdr:rowOff>9525</xdr:rowOff>
    </xdr:from>
    <xdr:ext cx="1438275" cy="819150"/>
    <xdr:pic>
      <xdr:nvPicPr>
        <xdr:cNvPr id="6" name="image1.jpeg">
          <a:extLst>
            <a:ext uri="{FF2B5EF4-FFF2-40B4-BE49-F238E27FC236}">
              <a16:creationId xmlns:a16="http://schemas.microsoft.com/office/drawing/2014/main" id="{C45409FC-1558-47BC-9C98-FDC61AB84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1689500" y="12906375"/>
          <a:ext cx="1438275" cy="8191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98</xdr:row>
      <xdr:rowOff>0</xdr:rowOff>
    </xdr:from>
    <xdr:ext cx="7337425" cy="923925"/>
    <xdr:pic>
      <xdr:nvPicPr>
        <xdr:cNvPr id="7" name="image2.jpeg">
          <a:extLst>
            <a:ext uri="{FF2B5EF4-FFF2-40B4-BE49-F238E27FC236}">
              <a16:creationId xmlns:a16="http://schemas.microsoft.com/office/drawing/2014/main" id="{9DC1A08F-CC8D-4B34-8EFD-866BD244F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28914550" y="7820025"/>
          <a:ext cx="7337425" cy="923925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112</xdr:row>
      <xdr:rowOff>9525</xdr:rowOff>
    </xdr:from>
    <xdr:ext cx="1438275" cy="819150"/>
    <xdr:pic>
      <xdr:nvPicPr>
        <xdr:cNvPr id="8" name="image1.jpeg">
          <a:extLst>
            <a:ext uri="{FF2B5EF4-FFF2-40B4-BE49-F238E27FC236}">
              <a16:creationId xmlns:a16="http://schemas.microsoft.com/office/drawing/2014/main" id="{FE772331-B33D-4817-8189-60720D58D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1689500" y="13268325"/>
          <a:ext cx="1438275" cy="8191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154</xdr:row>
      <xdr:rowOff>0</xdr:rowOff>
    </xdr:from>
    <xdr:ext cx="7337425" cy="923925"/>
    <xdr:pic>
      <xdr:nvPicPr>
        <xdr:cNvPr id="9" name="image2.jpeg">
          <a:extLst>
            <a:ext uri="{FF2B5EF4-FFF2-40B4-BE49-F238E27FC236}">
              <a16:creationId xmlns:a16="http://schemas.microsoft.com/office/drawing/2014/main" id="{9ED9E40F-14A0-4E1D-8273-CD245A6AD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28914550" y="21355050"/>
          <a:ext cx="7337425" cy="923925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171</xdr:row>
      <xdr:rowOff>9525</xdr:rowOff>
    </xdr:from>
    <xdr:ext cx="1438275" cy="819150"/>
    <xdr:pic>
      <xdr:nvPicPr>
        <xdr:cNvPr id="10" name="image1.jpeg">
          <a:extLst>
            <a:ext uri="{FF2B5EF4-FFF2-40B4-BE49-F238E27FC236}">
              <a16:creationId xmlns:a16="http://schemas.microsoft.com/office/drawing/2014/main" id="{CD89D34B-4D51-48F3-BCA0-FA4A1577E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1689500" y="21374100"/>
          <a:ext cx="1438275" cy="8191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212</xdr:row>
      <xdr:rowOff>0</xdr:rowOff>
    </xdr:from>
    <xdr:ext cx="7337425" cy="923925"/>
    <xdr:pic>
      <xdr:nvPicPr>
        <xdr:cNvPr id="11" name="image2.jpeg">
          <a:extLst>
            <a:ext uri="{FF2B5EF4-FFF2-40B4-BE49-F238E27FC236}">
              <a16:creationId xmlns:a16="http://schemas.microsoft.com/office/drawing/2014/main" id="{709755F5-F423-4136-9DB8-087D4BFB1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28914550" y="29546550"/>
          <a:ext cx="7337425" cy="923925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232</xdr:row>
      <xdr:rowOff>9525</xdr:rowOff>
    </xdr:from>
    <xdr:ext cx="1438275" cy="819150"/>
    <xdr:pic>
      <xdr:nvPicPr>
        <xdr:cNvPr id="12" name="image1.jpeg">
          <a:extLst>
            <a:ext uri="{FF2B5EF4-FFF2-40B4-BE49-F238E27FC236}">
              <a16:creationId xmlns:a16="http://schemas.microsoft.com/office/drawing/2014/main" id="{46438D90-8B62-4246-B4B4-F81A3EBBA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1689500" y="33404175"/>
          <a:ext cx="1438275" cy="8191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273</xdr:row>
      <xdr:rowOff>0</xdr:rowOff>
    </xdr:from>
    <xdr:ext cx="7337425" cy="923925"/>
    <xdr:pic>
      <xdr:nvPicPr>
        <xdr:cNvPr id="13" name="image2.jpeg">
          <a:extLst>
            <a:ext uri="{FF2B5EF4-FFF2-40B4-BE49-F238E27FC236}">
              <a16:creationId xmlns:a16="http://schemas.microsoft.com/office/drawing/2014/main" id="{517ED0A2-8429-4CF4-BD8F-56019A04F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28914550" y="41557575"/>
          <a:ext cx="7337425" cy="923925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280</xdr:row>
      <xdr:rowOff>9525</xdr:rowOff>
    </xdr:from>
    <xdr:ext cx="1438275" cy="819150"/>
    <xdr:pic>
      <xdr:nvPicPr>
        <xdr:cNvPr id="14" name="image1.jpeg">
          <a:extLst>
            <a:ext uri="{FF2B5EF4-FFF2-40B4-BE49-F238E27FC236}">
              <a16:creationId xmlns:a16="http://schemas.microsoft.com/office/drawing/2014/main" id="{E9ED0C19-E708-4676-949B-241918CB3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1689500" y="45196125"/>
          <a:ext cx="1438275" cy="8191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79376</xdr:colOff>
      <xdr:row>108</xdr:row>
      <xdr:rowOff>66674</xdr:rowOff>
    </xdr:from>
    <xdr:to>
      <xdr:col>11</xdr:col>
      <xdr:colOff>419100</xdr:colOff>
      <xdr:row>113</xdr:row>
      <xdr:rowOff>66674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CD6B2B09-7EEE-4779-9D19-F53748A98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670075" y="9915524"/>
          <a:ext cx="7397749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79376</xdr:colOff>
      <xdr:row>172</xdr:row>
      <xdr:rowOff>66674</xdr:rowOff>
    </xdr:from>
    <xdr:to>
      <xdr:col>11</xdr:col>
      <xdr:colOff>419100</xdr:colOff>
      <xdr:row>177</xdr:row>
      <xdr:rowOff>85724</xdr:rowOff>
    </xdr:to>
    <xdr:pic>
      <xdr:nvPicPr>
        <xdr:cNvPr id="5" name="image2.jpeg">
          <a:extLst>
            <a:ext uri="{FF2B5EF4-FFF2-40B4-BE49-F238E27FC236}">
              <a16:creationId xmlns:a16="http://schemas.microsoft.com/office/drawing/2014/main" id="{32FD0CC2-FEEB-4CD1-985D-E968F2EA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184300" y="9915524"/>
          <a:ext cx="7397749" cy="923925"/>
        </a:xfrm>
        <a:prstGeom prst="rect">
          <a:avLst/>
        </a:prstGeom>
      </xdr:spPr>
    </xdr:pic>
    <xdr:clientData/>
  </xdr:twoCellAnchor>
  <xdr:oneCellAnchor>
    <xdr:from>
      <xdr:col>0</xdr:col>
      <xdr:colOff>79376</xdr:colOff>
      <xdr:row>240</xdr:row>
      <xdr:rowOff>85725</xdr:rowOff>
    </xdr:from>
    <xdr:ext cx="7397749" cy="180974"/>
    <xdr:pic>
      <xdr:nvPicPr>
        <xdr:cNvPr id="7" name="image2.jpeg">
          <a:extLst>
            <a:ext uri="{FF2B5EF4-FFF2-40B4-BE49-F238E27FC236}">
              <a16:creationId xmlns:a16="http://schemas.microsoft.com/office/drawing/2014/main" id="{A4CDBCB5-E112-4C0F-BF22-1B332150C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7974750" y="34718625"/>
          <a:ext cx="7397749" cy="18097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247</xdr:row>
      <xdr:rowOff>0</xdr:rowOff>
    </xdr:from>
    <xdr:to>
      <xdr:col>12</xdr:col>
      <xdr:colOff>549274</xdr:colOff>
      <xdr:row>252</xdr:row>
      <xdr:rowOff>19050</xdr:rowOff>
    </xdr:to>
    <xdr:pic>
      <xdr:nvPicPr>
        <xdr:cNvPr id="11" name="image2.jpeg">
          <a:extLst>
            <a:ext uri="{FF2B5EF4-FFF2-40B4-BE49-F238E27FC236}">
              <a16:creationId xmlns:a16="http://schemas.microsoft.com/office/drawing/2014/main" id="{2FBC3EA6-1DFB-45BA-97FF-4C1ABCB81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7368326" y="35899725"/>
          <a:ext cx="7397749" cy="923925"/>
        </a:xfrm>
        <a:prstGeom prst="rect">
          <a:avLst/>
        </a:prstGeom>
      </xdr:spPr>
    </xdr:pic>
    <xdr:clientData/>
  </xdr:twoCellAnchor>
  <xdr:oneCellAnchor>
    <xdr:from>
      <xdr:col>4</xdr:col>
      <xdr:colOff>276225</xdr:colOff>
      <xdr:row>253</xdr:row>
      <xdr:rowOff>9525</xdr:rowOff>
    </xdr:from>
    <xdr:ext cx="1438275" cy="952500"/>
    <xdr:pic>
      <xdr:nvPicPr>
        <xdr:cNvPr id="13" name="image1.jpeg">
          <a:extLst>
            <a:ext uri="{FF2B5EF4-FFF2-40B4-BE49-F238E27FC236}">
              <a16:creationId xmlns:a16="http://schemas.microsoft.com/office/drawing/2014/main" id="{B1F6F9AA-7766-4F62-9128-1FC418041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1479950" y="9525"/>
          <a:ext cx="1438275" cy="952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309</xdr:row>
      <xdr:rowOff>0</xdr:rowOff>
    </xdr:from>
    <xdr:ext cx="1438275" cy="1181100"/>
    <xdr:pic>
      <xdr:nvPicPr>
        <xdr:cNvPr id="12" name="image1.jpeg">
          <a:extLst>
            <a:ext uri="{FF2B5EF4-FFF2-40B4-BE49-F238E27FC236}">
              <a16:creationId xmlns:a16="http://schemas.microsoft.com/office/drawing/2014/main" id="{8C283770-99F3-4F84-9BD6-C922848FB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0384575" y="47567850"/>
          <a:ext cx="1438275" cy="11811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180</xdr:row>
      <xdr:rowOff>0</xdr:rowOff>
    </xdr:from>
    <xdr:ext cx="1438275" cy="1181100"/>
    <xdr:pic>
      <xdr:nvPicPr>
        <xdr:cNvPr id="15" name="image1.jpeg">
          <a:extLst>
            <a:ext uri="{FF2B5EF4-FFF2-40B4-BE49-F238E27FC236}">
              <a16:creationId xmlns:a16="http://schemas.microsoft.com/office/drawing/2014/main" id="{7EEE8159-A04E-4347-8972-DF161A862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1070375" y="23326725"/>
          <a:ext cx="1438275" cy="1181100"/>
        </a:xfrm>
        <a:prstGeom prst="rect">
          <a:avLst/>
        </a:prstGeom>
      </xdr:spPr>
    </xdr:pic>
    <xdr:clientData/>
  </xdr:oneCellAnchor>
  <xdr:twoCellAnchor editAs="oneCell">
    <xdr:from>
      <xdr:col>5</xdr:col>
      <xdr:colOff>0</xdr:colOff>
      <xdr:row>118</xdr:row>
      <xdr:rowOff>0</xdr:rowOff>
    </xdr:from>
    <xdr:to>
      <xdr:col>7</xdr:col>
      <xdr:colOff>66675</xdr:colOff>
      <xdr:row>123</xdr:row>
      <xdr:rowOff>95250</xdr:rowOff>
    </xdr:to>
    <xdr:pic>
      <xdr:nvPicPr>
        <xdr:cNvPr id="16" name="image1.jpeg">
          <a:extLst>
            <a:ext uri="{FF2B5EF4-FFF2-40B4-BE49-F238E27FC236}">
              <a16:creationId xmlns:a16="http://schemas.microsoft.com/office/drawing/2014/main" id="{B8F612DE-2F0E-4763-B0DD-904F912BF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1070375" y="11658600"/>
          <a:ext cx="1438275" cy="1181100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365</xdr:row>
      <xdr:rowOff>0</xdr:rowOff>
    </xdr:from>
    <xdr:ext cx="1438275" cy="1181100"/>
    <xdr:pic>
      <xdr:nvPicPr>
        <xdr:cNvPr id="14" name="image1.jpeg">
          <a:extLst>
            <a:ext uri="{FF2B5EF4-FFF2-40B4-BE49-F238E27FC236}">
              <a16:creationId xmlns:a16="http://schemas.microsoft.com/office/drawing/2014/main" id="{309745CB-1CE1-420C-AFD4-9F0D99FD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0384575" y="47567850"/>
          <a:ext cx="1438275" cy="1181100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1</xdr:row>
      <xdr:rowOff>9525</xdr:rowOff>
    </xdr:from>
    <xdr:ext cx="1438275" cy="952500"/>
    <xdr:pic>
      <xdr:nvPicPr>
        <xdr:cNvPr id="18" name="image1.jpeg">
          <a:extLst>
            <a:ext uri="{FF2B5EF4-FFF2-40B4-BE49-F238E27FC236}">
              <a16:creationId xmlns:a16="http://schemas.microsoft.com/office/drawing/2014/main" id="{60272CB7-3BAB-4C00-8140-DDE72E83B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0851300" y="11058525"/>
          <a:ext cx="1438275" cy="952500"/>
        </a:xfrm>
        <a:prstGeom prst="rect">
          <a:avLst/>
        </a:prstGeom>
      </xdr:spPr>
    </xdr:pic>
    <xdr:clientData/>
  </xdr:oneCellAnchor>
  <xdr:oneCellAnchor>
    <xdr:from>
      <xdr:col>0</xdr:col>
      <xdr:colOff>79376</xdr:colOff>
      <xdr:row>421</xdr:row>
      <xdr:rowOff>66674</xdr:rowOff>
    </xdr:from>
    <xdr:ext cx="7397749" cy="923925"/>
    <xdr:pic>
      <xdr:nvPicPr>
        <xdr:cNvPr id="17" name="image2.jpeg">
          <a:extLst>
            <a:ext uri="{FF2B5EF4-FFF2-40B4-BE49-F238E27FC236}">
              <a16:creationId xmlns:a16="http://schemas.microsoft.com/office/drawing/2014/main" id="{384EC0BF-9D14-4088-8ED3-A440925D0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7346100" y="32632649"/>
          <a:ext cx="7397749" cy="923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142875</xdr:rowOff>
    </xdr:from>
    <xdr:ext cx="7115175" cy="742950"/>
    <xdr:pic>
      <xdr:nvPicPr>
        <xdr:cNvPr id="19" name="image2.jpeg">
          <a:extLst>
            <a:ext uri="{FF2B5EF4-FFF2-40B4-BE49-F238E27FC236}">
              <a16:creationId xmlns:a16="http://schemas.microsoft.com/office/drawing/2014/main" id="{E5CF654F-0FD1-463A-A718-E207E2559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7708050" y="91649550"/>
          <a:ext cx="7115175" cy="742950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502</xdr:row>
      <xdr:rowOff>9525</xdr:rowOff>
    </xdr:from>
    <xdr:ext cx="1438275" cy="952500"/>
    <xdr:pic>
      <xdr:nvPicPr>
        <xdr:cNvPr id="20" name="image1.jpeg">
          <a:extLst>
            <a:ext uri="{FF2B5EF4-FFF2-40B4-BE49-F238E27FC236}">
              <a16:creationId xmlns:a16="http://schemas.microsoft.com/office/drawing/2014/main" id="{1728A766-8568-42E7-9EB6-EBC250AD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0851300" y="47834550"/>
          <a:ext cx="1438275" cy="952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429</xdr:row>
      <xdr:rowOff>0</xdr:rowOff>
    </xdr:from>
    <xdr:ext cx="1438275" cy="1181100"/>
    <xdr:pic>
      <xdr:nvPicPr>
        <xdr:cNvPr id="21" name="image1.jpeg">
          <a:extLst>
            <a:ext uri="{FF2B5EF4-FFF2-40B4-BE49-F238E27FC236}">
              <a16:creationId xmlns:a16="http://schemas.microsoft.com/office/drawing/2014/main" id="{9DEEE754-C5F0-4070-A4C3-2E82701B2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0441725" y="34013775"/>
          <a:ext cx="1438275" cy="1181100"/>
        </a:xfrm>
        <a:prstGeom prst="rect">
          <a:avLst/>
        </a:prstGeom>
      </xdr:spPr>
    </xdr:pic>
    <xdr:clientData/>
  </xdr:oneCellAnchor>
  <xdr:oneCellAnchor>
    <xdr:from>
      <xdr:col>0</xdr:col>
      <xdr:colOff>79376</xdr:colOff>
      <xdr:row>561</xdr:row>
      <xdr:rowOff>66674</xdr:rowOff>
    </xdr:from>
    <xdr:ext cx="7397749" cy="923925"/>
    <xdr:pic>
      <xdr:nvPicPr>
        <xdr:cNvPr id="22" name="image2.jpeg">
          <a:extLst>
            <a:ext uri="{FF2B5EF4-FFF2-40B4-BE49-F238E27FC236}">
              <a16:creationId xmlns:a16="http://schemas.microsoft.com/office/drawing/2014/main" id="{48853D3D-F0DA-4607-BCFC-9D9C907CD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7346100" y="80086199"/>
          <a:ext cx="7397749" cy="923925"/>
        </a:xfrm>
        <a:prstGeom prst="rect">
          <a:avLst/>
        </a:prstGeom>
      </xdr:spPr>
    </xdr:pic>
    <xdr:clientData/>
  </xdr:oneCellAnchor>
  <xdr:oneCellAnchor>
    <xdr:from>
      <xdr:col>0</xdr:col>
      <xdr:colOff>79376</xdr:colOff>
      <xdr:row>629</xdr:row>
      <xdr:rowOff>85725</xdr:rowOff>
    </xdr:from>
    <xdr:ext cx="7397749" cy="180974"/>
    <xdr:pic>
      <xdr:nvPicPr>
        <xdr:cNvPr id="23" name="image2.jpeg">
          <a:extLst>
            <a:ext uri="{FF2B5EF4-FFF2-40B4-BE49-F238E27FC236}">
              <a16:creationId xmlns:a16="http://schemas.microsoft.com/office/drawing/2014/main" id="{9D2BAA42-66FD-4B4B-958B-5857F4740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7346100" y="92859225"/>
          <a:ext cx="7397749" cy="180974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642</xdr:row>
      <xdr:rowOff>9525</xdr:rowOff>
    </xdr:from>
    <xdr:ext cx="1438275" cy="952500"/>
    <xdr:pic>
      <xdr:nvPicPr>
        <xdr:cNvPr id="24" name="image1.jpeg">
          <a:extLst>
            <a:ext uri="{FF2B5EF4-FFF2-40B4-BE49-F238E27FC236}">
              <a16:creationId xmlns:a16="http://schemas.microsoft.com/office/drawing/2014/main" id="{0DC7157B-D1BE-44F1-9D50-DA7B55DA2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0851300" y="95145225"/>
          <a:ext cx="1438275" cy="952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569</xdr:row>
      <xdr:rowOff>0</xdr:rowOff>
    </xdr:from>
    <xdr:ext cx="1438275" cy="1181100"/>
    <xdr:pic>
      <xdr:nvPicPr>
        <xdr:cNvPr id="25" name="image1.jpeg">
          <a:extLst>
            <a:ext uri="{FF2B5EF4-FFF2-40B4-BE49-F238E27FC236}">
              <a16:creationId xmlns:a16="http://schemas.microsoft.com/office/drawing/2014/main" id="{C4B238E8-6DA1-4C4F-A9D2-FD84E2B74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0441725" y="81467325"/>
          <a:ext cx="1438275" cy="1181100"/>
        </a:xfrm>
        <a:prstGeom prst="rect">
          <a:avLst/>
        </a:prstGeom>
      </xdr:spPr>
    </xdr:pic>
    <xdr:clientData/>
  </xdr:oneCellAnchor>
  <xdr:oneCellAnchor>
    <xdr:from>
      <xdr:col>0</xdr:col>
      <xdr:colOff>79376</xdr:colOff>
      <xdr:row>561</xdr:row>
      <xdr:rowOff>66674</xdr:rowOff>
    </xdr:from>
    <xdr:ext cx="7397749" cy="923925"/>
    <xdr:pic>
      <xdr:nvPicPr>
        <xdr:cNvPr id="26" name="image2.jpeg">
          <a:extLst>
            <a:ext uri="{FF2B5EF4-FFF2-40B4-BE49-F238E27FC236}">
              <a16:creationId xmlns:a16="http://schemas.microsoft.com/office/drawing/2014/main" id="{AA79C534-B155-4E82-8F82-4012DE07D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7346100" y="80086199"/>
          <a:ext cx="7397749" cy="923925"/>
        </a:xfrm>
        <a:prstGeom prst="rect">
          <a:avLst/>
        </a:prstGeom>
      </xdr:spPr>
    </xdr:pic>
    <xdr:clientData/>
  </xdr:oneCellAnchor>
  <xdr:oneCellAnchor>
    <xdr:from>
      <xdr:col>0</xdr:col>
      <xdr:colOff>79376</xdr:colOff>
      <xdr:row>629</xdr:row>
      <xdr:rowOff>85725</xdr:rowOff>
    </xdr:from>
    <xdr:ext cx="7397749" cy="180974"/>
    <xdr:pic>
      <xdr:nvPicPr>
        <xdr:cNvPr id="27" name="image2.jpeg">
          <a:extLst>
            <a:ext uri="{FF2B5EF4-FFF2-40B4-BE49-F238E27FC236}">
              <a16:creationId xmlns:a16="http://schemas.microsoft.com/office/drawing/2014/main" id="{9E95749C-15A3-400B-8173-8F89D4379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7346100" y="92859225"/>
          <a:ext cx="7397749" cy="180974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642</xdr:row>
      <xdr:rowOff>9525</xdr:rowOff>
    </xdr:from>
    <xdr:ext cx="1438275" cy="952500"/>
    <xdr:pic>
      <xdr:nvPicPr>
        <xdr:cNvPr id="28" name="image1.jpeg">
          <a:extLst>
            <a:ext uri="{FF2B5EF4-FFF2-40B4-BE49-F238E27FC236}">
              <a16:creationId xmlns:a16="http://schemas.microsoft.com/office/drawing/2014/main" id="{C9937BB4-ECF7-4983-AB0C-5A078792F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0851300" y="95145225"/>
          <a:ext cx="1438275" cy="952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569</xdr:row>
      <xdr:rowOff>0</xdr:rowOff>
    </xdr:from>
    <xdr:ext cx="1438275" cy="1181100"/>
    <xdr:pic>
      <xdr:nvPicPr>
        <xdr:cNvPr id="29" name="image1.jpeg">
          <a:extLst>
            <a:ext uri="{FF2B5EF4-FFF2-40B4-BE49-F238E27FC236}">
              <a16:creationId xmlns:a16="http://schemas.microsoft.com/office/drawing/2014/main" id="{B814B37F-9E72-48A3-A7E6-111633C73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30441725" y="81467325"/>
          <a:ext cx="1438275" cy="118110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0</xdr:row>
      <xdr:rowOff>38100</xdr:rowOff>
    </xdr:from>
    <xdr:to>
      <xdr:col>7</xdr:col>
      <xdr:colOff>361950</xdr:colOff>
      <xdr:row>2</xdr:row>
      <xdr:rowOff>333375</xdr:rowOff>
    </xdr:to>
    <xdr:pic>
      <xdr:nvPicPr>
        <xdr:cNvPr id="5" name="image2.jpeg">
          <a:extLst>
            <a:ext uri="{FF2B5EF4-FFF2-40B4-BE49-F238E27FC236}">
              <a16:creationId xmlns:a16="http://schemas.microsoft.com/office/drawing/2014/main" id="{7E8EA29D-7515-48FD-AADA-A5A154732AF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0984650" y="38100"/>
          <a:ext cx="142875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37</xdr:row>
      <xdr:rowOff>38100</xdr:rowOff>
    </xdr:from>
    <xdr:to>
      <xdr:col>10</xdr:col>
      <xdr:colOff>647701</xdr:colOff>
      <xdr:row>41</xdr:row>
      <xdr:rowOff>114300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1A0F161E-2BD2-4348-8161-2B802C550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28641499" y="7772400"/>
          <a:ext cx="7477125" cy="8001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276225</xdr:colOff>
      <xdr:row>0</xdr:row>
      <xdr:rowOff>9525</xdr:rowOff>
    </xdr:from>
    <xdr:to>
      <xdr:col>6</xdr:col>
      <xdr:colOff>342900</xdr:colOff>
      <xdr:row>5</xdr:row>
      <xdr:rowOff>142875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C814B9F6-70A5-49D3-A2B9-04CC925C7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1689500" y="9525"/>
          <a:ext cx="1438275" cy="1038225"/>
        </a:xfrm>
        <a:prstGeom prst="rect">
          <a:avLst/>
        </a:prstGeom>
      </xdr:spPr>
    </xdr:pic>
    <xdr:clientData/>
  </xdr:twoCellAnchor>
  <xdr:oneCellAnchor>
    <xdr:from>
      <xdr:col>0</xdr:col>
      <xdr:colOff>269875</xdr:colOff>
      <xdr:row>30</xdr:row>
      <xdr:rowOff>66675</xdr:rowOff>
    </xdr:from>
    <xdr:ext cx="7470775" cy="962024"/>
    <xdr:pic>
      <xdr:nvPicPr>
        <xdr:cNvPr id="3" name="image1.png">
          <a:extLst>
            <a:ext uri="{FF2B5EF4-FFF2-40B4-BE49-F238E27FC236}">
              <a16:creationId xmlns:a16="http://schemas.microsoft.com/office/drawing/2014/main" id="{8A203511-EE1A-45EF-B7F9-696106C8E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9238"/>
        <a:stretch/>
      </xdr:blipFill>
      <xdr:spPr bwMode="auto">
        <a:xfrm>
          <a:off x="11177260475" y="8893175"/>
          <a:ext cx="7470775" cy="962024"/>
        </a:xfrm>
        <a:prstGeom prst="rect">
          <a:avLst/>
        </a:prstGeom>
        <a:ln w="9525" cap="flat" cmpd="sng" algn="ctr">
          <a:solidFill>
            <a:sysClr val="window" lastClr="FFFFFF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0">
                <a:custGeom>
                  <a:avLst/>
                  <a:gdLst/>
                  <a:ahLst/>
                  <a:cxnLst/>
                  <a:rect l="0" t="0" r="0" b="0"/>
                  <a:pathLst/>
                </a:custGeom>
                <ask:type/>
              </ask:lineSketchStyleProps>
            </a:ext>
          </a:extLst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609600</xdr:colOff>
      <xdr:row>0</xdr:row>
      <xdr:rowOff>66676</xdr:rowOff>
    </xdr:from>
    <xdr:ext cx="1571624" cy="876299"/>
    <xdr:pic>
      <xdr:nvPicPr>
        <xdr:cNvPr id="2" name="image1.jpeg">
          <a:extLst>
            <a:ext uri="{FF2B5EF4-FFF2-40B4-BE49-F238E27FC236}">
              <a16:creationId xmlns:a16="http://schemas.microsoft.com/office/drawing/2014/main" id="{1594113B-A151-4FB5-A9B0-5666F13A7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851176" y="66676"/>
          <a:ext cx="1571624" cy="87629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5D96F-142B-4B1C-8D2E-2ACDBE9CCDCB}" name="الجدول13" displayName="الجدول13" ref="A7:K38" totalsRowShown="0" headerRowDxfId="64" dataDxfId="62" headerRowBorderDxfId="63" tableBorderDxfId="61" totalsRowBorderDxfId="60">
  <tableColumns count="11">
    <tableColumn id="1" xr3:uid="{F387F4C3-A622-44E0-8C43-5C2B387C9BEA}" name="اليوم" dataDxfId="59"/>
    <tableColumn id="2" xr3:uid="{466556C8-BF2F-4A76-856D-3E66237E8646}" name="L" dataDxfId="58"/>
    <tableColumn id="5" xr3:uid="{013B67EA-1517-4ADC-B41C-CD4821F18E1F}" name="SR" dataDxfId="57">
      <calculatedColumnFormula>الجدول13[[#This Row],[L]]*2.18</calculatedColumnFormula>
    </tableColumn>
    <tableColumn id="3" xr3:uid="{B701151E-63A7-4EC2-9939-3EB8F4CAB72E}" name="L2" dataDxfId="56"/>
    <tableColumn id="7" xr3:uid="{5A98D81A-B44A-4278-8C6F-255CF9EBA9E4}" name="SR2" dataDxfId="55">
      <calculatedColumnFormula>2.33*الجدول13[[#This Row],[L2]]</calculatedColumnFormula>
    </tableColumn>
    <tableColumn id="4" xr3:uid="{B7CDBF88-6670-4A14-97E6-566D99E56C96}" name="L3" dataDxfId="54"/>
    <tableColumn id="9" xr3:uid="{AE69494F-66F3-4D07-B006-D9226AC413AD}" name="SR3" dataDxfId="53">
      <calculatedColumnFormula>0.75*الجدول13[[#This Row],[L3]]</calculatedColumnFormula>
    </tableColumn>
    <tableColumn id="6" xr3:uid="{010D6ABC-E15A-4197-A47B-D8136961A852}" name="TOTAL" dataDxfId="52">
      <calculatedColumnFormula>الجدول13[[#This Row],[SR3]]+الجدول13[[#This Row],[SR2]]+الجدول13[[#This Row],[SR]]</calculatedColumnFormula>
    </tableColumn>
    <tableColumn id="8" xr3:uid="{603CEAD8-4C17-4D3E-B1FB-76BDEC2E7606}" name="CASH" dataDxfId="51"/>
    <tableColumn id="10" xr3:uid="{3E3EC9E7-1F89-4053-84C1-3053E6ACE9B8}" name="ATM" dataDxfId="50"/>
    <tableColumn id="11" xr3:uid="{D1468FA9-6A31-42CA-B4FE-D0FFD428CAC1}" name="BIL" dataDxfId="49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A6C381-261B-446F-B5ED-E8533C6DE229}" name="الجدول13495" displayName="الجدول13495" ref="A73:F116" totalsRowCount="1" headerRowDxfId="48" dataDxfId="46" headerRowBorderDxfId="47" tableBorderDxfId="45" totalsRowBorderDxfId="44">
  <tableColumns count="6">
    <tableColumn id="1" xr3:uid="{21934BFD-E3FD-4472-BD4D-3814BEA128E0}" name="م" totalsRowLabel="43" dataDxfId="43" totalsRowDxfId="42"/>
    <tableColumn id="2" xr3:uid="{19B9F451-5015-4BC4-B3D7-A07881F1127C}" name="المبلغ" dataDxfId="41" totalsRowDxfId="40"/>
    <tableColumn id="3" xr3:uid="{513CE654-387D-4C6F-BE1F-FC67FAC037BD}" name="البيان" dataDxfId="39" totalsRowDxfId="38"/>
    <tableColumn id="4" xr3:uid="{6FF7C6EB-ED19-4896-A24C-F1AA99DF349C}" name="رقم الفاتورة" dataDxfId="37" totalsRowDxfId="36"/>
    <tableColumn id="5" xr3:uid="{5D508EC2-60E2-488C-8137-35103AAF43FA}" name="التاريخ " dataDxfId="35" totalsRowDxfId="34"/>
    <tableColumn id="6" xr3:uid="{724E8EE0-4FBB-4529-9EF5-19F2EE57AF43}" name="الملاحظات" dataDxfId="33" totalsRowDxfId="32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41F8A-4532-43DB-80B0-E3B0297FBABB}" name="الجدول1349" displayName="الجدول1349" ref="A11:F54" totalsRowCount="1" headerRowDxfId="31" dataDxfId="29" headerRowBorderDxfId="30" tableBorderDxfId="28" totalsRowBorderDxfId="27">
  <tableColumns count="6">
    <tableColumn id="1" xr3:uid="{AA80B848-D00C-4B29-8C73-6F11AD5B9761}" name="م" totalsRowLabel="43" dataDxfId="26" totalsRowDxfId="25"/>
    <tableColumn id="2" xr3:uid="{6FF1FCEC-FA24-487E-8F66-DC720865A1AC}" name="المبلغ" dataDxfId="24" totalsRowDxfId="23"/>
    <tableColumn id="3" xr3:uid="{EF62061C-5FEB-459A-B387-F67B4D8B432A}" name="البيان" dataDxfId="22" totalsRowDxfId="21"/>
    <tableColumn id="4" xr3:uid="{660306E0-2D57-4BE2-AD87-A1DFCB6F038F}" name="رقم الفاتورة" dataDxfId="20" totalsRowDxfId="19"/>
    <tableColumn id="5" xr3:uid="{974350E8-2E80-4F8F-9383-E2F181E7E0AA}" name="التاريخ " dataDxfId="18" totalsRowDxfId="17"/>
    <tableColumn id="6" xr3:uid="{D80740C1-5EE8-4B33-9BC6-289736C6381F}" name="الملاحظات" dataDxfId="16" totalsRowDxfId="15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5C3910-0654-49CB-B38E-C2AF65C64D73}" name="الجدول1" displayName="الجدول1" ref="B7:L31" totalsRowShown="0" headerRowDxfId="14" dataDxfId="12" headerRowBorderDxfId="13" tableBorderDxfId="11">
  <tableColumns count="11">
    <tableColumn id="2" xr3:uid="{94960F7F-5A06-44F6-AE22-000D16E86E70}" name="التاريخ" dataDxfId="10"/>
    <tableColumn id="3" xr3:uid="{D4CBE69F-6265-4279-983D-3F06F59BCC1B}" name="نوع السياره" dataDxfId="9"/>
    <tableColumn id="4" xr3:uid="{4848031D-441C-4877-904F-C7C2DFAB556C}" name="اللون" dataDxfId="8"/>
    <tableColumn id="5" xr3:uid="{5C89C376-3A7D-4BD0-945D-9CB191A8679D}" name="رقم اللوحه" dataDxfId="7"/>
    <tableColumn id="1" xr3:uid="{AA054238-687E-4FD5-952A-3F6662BFEC5E}" name="نوع البنزين " dataDxfId="6"/>
    <tableColumn id="6" xr3:uid="{1C2D54CE-59C3-46CA-9D7E-E4E86B2F1402}" name="المبلغ" dataDxfId="5"/>
    <tableColumn id="7" xr3:uid="{C93BF1F5-F654-485F-A33C-531F4C2ECAFC}" name="السداد" dataDxfId="4"/>
    <tableColumn id="8" xr3:uid="{7FC56D25-E29C-4837-81EE-DDCF80171EF7}" name="نوع السداد" dataDxfId="3"/>
    <tableColumn id="9" xr3:uid="{4B3E8F27-74DA-47FB-BA01-E79238DC7700}" name="تاريخ السداد" dataDxfId="2"/>
    <tableColumn id="10" xr3:uid="{979FCC3D-5362-4B31-927E-CFAA6F596DC9}" name="الملاحظات" dataDxfId="1"/>
    <tableColumn id="11" xr3:uid="{6DFEED47-F7CB-4456-9CE3-C5426FA03F05}" name="إضافية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1939-655D-428F-BD84-9C0681EE6E11}">
  <sheetPr>
    <tabColor theme="7" tint="0.39997558519241921"/>
  </sheetPr>
  <dimension ref="A1:S56"/>
  <sheetViews>
    <sheetView rightToLeft="1" tabSelected="1" zoomScaleNormal="100" workbookViewId="0">
      <selection activeCell="R40" sqref="R40"/>
    </sheetView>
  </sheetViews>
  <sheetFormatPr defaultRowHeight="14.25" x14ac:dyDescent="0.2"/>
  <cols>
    <col min="3" max="3" width="10.125" bestFit="1" customWidth="1"/>
    <col min="8" max="8" width="16.625" customWidth="1"/>
    <col min="9" max="9" width="10.125" customWidth="1"/>
    <col min="10" max="10" width="10.75" customWidth="1"/>
    <col min="11" max="11" width="10.125" customWidth="1"/>
  </cols>
  <sheetData>
    <row r="1" spans="1:19" ht="15.75" x14ac:dyDescent="0.2">
      <c r="A1" s="335" t="s">
        <v>68</v>
      </c>
      <c r="B1" s="335"/>
      <c r="C1" s="335"/>
      <c r="D1" s="335"/>
      <c r="E1" s="335"/>
      <c r="F1" s="335"/>
      <c r="G1" s="15"/>
      <c r="H1" s="15"/>
      <c r="I1" s="16"/>
      <c r="J1" s="16"/>
      <c r="K1" s="16"/>
    </row>
    <row r="2" spans="1:19" ht="15.75" x14ac:dyDescent="0.2">
      <c r="A2" s="79"/>
      <c r="B2" s="335" t="s">
        <v>11</v>
      </c>
      <c r="C2" s="335"/>
      <c r="D2" s="335"/>
      <c r="E2" s="80"/>
      <c r="F2" s="79"/>
      <c r="G2" s="337"/>
      <c r="H2" s="337"/>
      <c r="I2" s="337"/>
      <c r="J2" s="337"/>
      <c r="K2" s="16"/>
    </row>
    <row r="3" spans="1:19" ht="15.75" x14ac:dyDescent="0.2">
      <c r="A3" s="79"/>
      <c r="B3" s="335" t="s">
        <v>12</v>
      </c>
      <c r="C3" s="335"/>
      <c r="D3" s="335"/>
      <c r="E3" s="80"/>
      <c r="F3" s="79"/>
      <c r="G3" s="337"/>
      <c r="H3" s="337"/>
      <c r="I3" s="337"/>
      <c r="J3" s="337"/>
      <c r="K3" s="16"/>
    </row>
    <row r="4" spans="1:19" x14ac:dyDescent="0.2">
      <c r="A4" s="81"/>
      <c r="B4" s="82"/>
      <c r="C4" s="82"/>
      <c r="D4" s="82"/>
      <c r="E4" s="83"/>
      <c r="F4" s="81"/>
      <c r="G4" s="15"/>
      <c r="H4" s="15"/>
      <c r="I4" s="16"/>
      <c r="J4" s="16"/>
      <c r="K4" s="16"/>
    </row>
    <row r="5" spans="1:19" ht="15" thickBot="1" x14ac:dyDescent="0.25">
      <c r="A5" s="15"/>
      <c r="B5" s="15"/>
      <c r="C5" s="15"/>
      <c r="D5" s="17"/>
      <c r="E5" s="15"/>
      <c r="F5" s="17"/>
      <c r="G5" s="15"/>
      <c r="H5" s="15"/>
      <c r="I5" s="16"/>
      <c r="J5" s="16"/>
      <c r="K5" s="16"/>
    </row>
    <row r="6" spans="1:19" ht="15.75" x14ac:dyDescent="0.2">
      <c r="A6" s="116"/>
      <c r="B6" s="336" t="s">
        <v>13</v>
      </c>
      <c r="C6" s="336"/>
      <c r="D6" s="336" t="s">
        <v>14</v>
      </c>
      <c r="E6" s="336"/>
      <c r="F6" s="336" t="s">
        <v>15</v>
      </c>
      <c r="G6" s="336"/>
      <c r="H6" s="117" t="s">
        <v>16</v>
      </c>
      <c r="I6" s="117" t="s">
        <v>17</v>
      </c>
      <c r="J6" s="117" t="s">
        <v>18</v>
      </c>
      <c r="K6" s="117" t="s">
        <v>19</v>
      </c>
      <c r="R6" s="346">
        <v>91</v>
      </c>
      <c r="S6" s="346"/>
    </row>
    <row r="7" spans="1:19" ht="15.75" x14ac:dyDescent="0.2">
      <c r="A7" s="118" t="s">
        <v>20</v>
      </c>
      <c r="B7" s="119" t="s">
        <v>21</v>
      </c>
      <c r="C7" s="119" t="s">
        <v>22</v>
      </c>
      <c r="D7" s="119" t="s">
        <v>23</v>
      </c>
      <c r="E7" s="119" t="s">
        <v>24</v>
      </c>
      <c r="F7" s="119" t="s">
        <v>25</v>
      </c>
      <c r="G7" s="119" t="s">
        <v>26</v>
      </c>
      <c r="H7" s="119" t="s">
        <v>27</v>
      </c>
      <c r="I7" s="118" t="s">
        <v>28</v>
      </c>
      <c r="J7" s="118" t="s">
        <v>29</v>
      </c>
      <c r="K7" s="118" t="s">
        <v>30</v>
      </c>
      <c r="R7" s="13">
        <f>AVERAGE(C8:C38)</f>
        <v>38113.783870967745</v>
      </c>
      <c r="S7" t="s">
        <v>91</v>
      </c>
    </row>
    <row r="8" spans="1:19" ht="15.75" x14ac:dyDescent="0.2">
      <c r="A8" s="56">
        <v>1</v>
      </c>
      <c r="B8" s="149">
        <v>24903</v>
      </c>
      <c r="C8" s="56">
        <f>الجدول13[[#This Row],[L]]*2.18</f>
        <v>54288.54</v>
      </c>
      <c r="D8" s="149">
        <v>13475</v>
      </c>
      <c r="E8" s="56">
        <f>2.33*الجدول13[[#This Row],[L2]]</f>
        <v>31396.75</v>
      </c>
      <c r="F8" s="149">
        <v>3815</v>
      </c>
      <c r="G8" s="120">
        <f>0.75*الجدول13[[#This Row],[L3]]</f>
        <v>2861.25</v>
      </c>
      <c r="H8" s="121">
        <f>الجدول13[[#This Row],[SR3]]+الجدول13[[#This Row],[SR2]]+الجدول13[[#This Row],[SR]]</f>
        <v>88546.540000000008</v>
      </c>
      <c r="I8" s="122">
        <v>17417.29</v>
      </c>
      <c r="J8" s="122">
        <v>67289.48</v>
      </c>
      <c r="K8" s="122">
        <v>3839.47</v>
      </c>
      <c r="R8" s="13">
        <f>MAX(C8:C38)</f>
        <v>71634.8</v>
      </c>
      <c r="S8" t="s">
        <v>122</v>
      </c>
    </row>
    <row r="9" spans="1:19" ht="15.75" x14ac:dyDescent="0.2">
      <c r="A9" s="56">
        <v>2</v>
      </c>
      <c r="B9" s="149">
        <v>25927</v>
      </c>
      <c r="C9" s="56">
        <f>الجدول13[[#This Row],[L]]*2.18</f>
        <v>56520.86</v>
      </c>
      <c r="D9" s="149">
        <v>14219</v>
      </c>
      <c r="E9" s="56">
        <f>2.33*الجدول13[[#This Row],[L2]]</f>
        <v>33130.270000000004</v>
      </c>
      <c r="F9" s="149">
        <v>5680</v>
      </c>
      <c r="G9" s="120">
        <f>0.75*الجدول13[[#This Row],[L3]]</f>
        <v>4260</v>
      </c>
      <c r="H9" s="121">
        <f>الجدول13[[#This Row],[SR3]]+الجدول13[[#This Row],[SR2]]+الجدول13[[#This Row],[SR]]</f>
        <v>93911.13</v>
      </c>
      <c r="I9" s="122">
        <v>20892</v>
      </c>
      <c r="J9" s="122">
        <v>69570.78</v>
      </c>
      <c r="K9" s="122">
        <v>3449</v>
      </c>
      <c r="R9" s="13">
        <f>MIN(C8:C28)</f>
        <v>47323.44</v>
      </c>
      <c r="S9" t="s">
        <v>92</v>
      </c>
    </row>
    <row r="10" spans="1:19" ht="15.75" x14ac:dyDescent="0.2">
      <c r="A10" s="56">
        <v>3</v>
      </c>
      <c r="B10" s="149">
        <v>26068</v>
      </c>
      <c r="C10" s="56">
        <f>الجدول13[[#This Row],[L]]*2.18</f>
        <v>56828.240000000005</v>
      </c>
      <c r="D10" s="149">
        <v>12138</v>
      </c>
      <c r="E10" s="56">
        <f>2.33*الجدول13[[#This Row],[L2]]</f>
        <v>28281.54</v>
      </c>
      <c r="F10" s="149">
        <v>4670</v>
      </c>
      <c r="G10" s="120">
        <f>0.75*الجدول13[[#This Row],[L3]]</f>
        <v>3502.5</v>
      </c>
      <c r="H10" s="121">
        <f>الجدول13[[#This Row],[SR3]]+الجدول13[[#This Row],[SR2]]+الجدول13[[#This Row],[SR]]</f>
        <v>88612.28</v>
      </c>
      <c r="I10" s="122">
        <v>18906</v>
      </c>
      <c r="J10" s="122">
        <v>68757.7</v>
      </c>
      <c r="K10" s="122">
        <v>948</v>
      </c>
    </row>
    <row r="11" spans="1:19" ht="15.75" x14ac:dyDescent="0.2">
      <c r="A11" s="56">
        <v>4</v>
      </c>
      <c r="B11" s="149">
        <v>26832</v>
      </c>
      <c r="C11" s="56">
        <f>الجدول13[[#This Row],[L]]*2.18</f>
        <v>58493.760000000002</v>
      </c>
      <c r="D11" s="149">
        <v>13551</v>
      </c>
      <c r="E11" s="56">
        <f>2.33*الجدول13[[#This Row],[L2]]</f>
        <v>31573.83</v>
      </c>
      <c r="F11" s="149">
        <v>4670</v>
      </c>
      <c r="G11" s="120">
        <f>0.75*الجدول13[[#This Row],[L3]]</f>
        <v>3502.5</v>
      </c>
      <c r="H11" s="121">
        <f>الجدول13[[#This Row],[SR3]]+الجدول13[[#This Row],[SR2]]+الجدول13[[#This Row],[SR]]</f>
        <v>93570.09</v>
      </c>
      <c r="I11" s="122">
        <v>21112.09</v>
      </c>
      <c r="J11" s="122">
        <v>71103.81</v>
      </c>
      <c r="K11" s="122">
        <v>1354</v>
      </c>
    </row>
    <row r="12" spans="1:19" ht="15.75" x14ac:dyDescent="0.2">
      <c r="A12" s="56">
        <v>5</v>
      </c>
      <c r="B12" s="149">
        <v>22492</v>
      </c>
      <c r="C12" s="56">
        <f>الجدول13[[#This Row],[L]]*2.18</f>
        <v>49032.560000000005</v>
      </c>
      <c r="D12" s="149">
        <v>11397</v>
      </c>
      <c r="E12" s="56">
        <f>2.33*الجدول13[[#This Row],[L2]]</f>
        <v>26555.010000000002</v>
      </c>
      <c r="F12" s="149">
        <v>1463</v>
      </c>
      <c r="G12" s="120">
        <f>0.75*الجدول13[[#This Row],[L3]]</f>
        <v>1097.25</v>
      </c>
      <c r="H12" s="121">
        <f>الجدول13[[#This Row],[SR3]]+الجدول13[[#This Row],[SR2]]+الجدول13[[#This Row],[SR]]</f>
        <v>76684.820000000007</v>
      </c>
      <c r="I12" s="122">
        <v>17454</v>
      </c>
      <c r="J12" s="122">
        <v>58866.42</v>
      </c>
      <c r="K12" s="122">
        <v>364</v>
      </c>
      <c r="R12" s="347">
        <v>95</v>
      </c>
      <c r="S12" s="347"/>
    </row>
    <row r="13" spans="1:19" ht="15.75" x14ac:dyDescent="0.2">
      <c r="A13" s="56">
        <v>6</v>
      </c>
      <c r="B13" s="149">
        <v>22708</v>
      </c>
      <c r="C13" s="56">
        <f>الجدول13[[#This Row],[L]]*2.18</f>
        <v>49503.44</v>
      </c>
      <c r="D13" s="149">
        <v>12284</v>
      </c>
      <c r="E13" s="56">
        <f>2.33*الجدول13[[#This Row],[L2]]</f>
        <v>28621.72</v>
      </c>
      <c r="F13" s="149">
        <v>5045</v>
      </c>
      <c r="G13" s="120">
        <f>0.75*الجدول13[[#This Row],[L3]]</f>
        <v>3783.75</v>
      </c>
      <c r="H13" s="121">
        <f>الجدول13[[#This Row],[SR3]]+الجدول13[[#This Row],[SR2]]+الجدول13[[#This Row],[SR]]</f>
        <v>81908.91</v>
      </c>
      <c r="I13" s="122">
        <v>23004.240000000002</v>
      </c>
      <c r="J13" s="122">
        <v>57866.8</v>
      </c>
      <c r="K13" s="122">
        <v>1038</v>
      </c>
      <c r="R13" s="10">
        <f>AVERAGEA(E8:E38)</f>
        <v>19598.38161290322</v>
      </c>
      <c r="S13" t="s">
        <v>91</v>
      </c>
    </row>
    <row r="14" spans="1:19" ht="15.75" x14ac:dyDescent="0.2">
      <c r="A14" s="56">
        <v>7</v>
      </c>
      <c r="B14" s="149">
        <v>26100</v>
      </c>
      <c r="C14" s="56">
        <f>الجدول13[[#This Row],[L]]*2.18</f>
        <v>56898.000000000007</v>
      </c>
      <c r="D14" s="149">
        <v>12034</v>
      </c>
      <c r="E14" s="56">
        <f>2.33*الجدول13[[#This Row],[L2]]</f>
        <v>28039.22</v>
      </c>
      <c r="F14" s="149">
        <v>4189</v>
      </c>
      <c r="G14" s="120">
        <f>0.75*الجدول13[[#This Row],[L3]]</f>
        <v>3141.75</v>
      </c>
      <c r="H14" s="121">
        <f>الجدول13[[#This Row],[SR3]]+الجدول13[[#This Row],[SR2]]+الجدول13[[#This Row],[SR]]</f>
        <v>88078.97</v>
      </c>
      <c r="I14" s="122">
        <v>23019</v>
      </c>
      <c r="J14" s="122">
        <v>64511.81</v>
      </c>
      <c r="K14" s="122">
        <v>548</v>
      </c>
      <c r="R14" s="10">
        <f>MAX(E8:E38)</f>
        <v>34870.78</v>
      </c>
      <c r="S14" t="s">
        <v>122</v>
      </c>
    </row>
    <row r="15" spans="1:19" ht="15.75" x14ac:dyDescent="0.2">
      <c r="A15" s="56">
        <v>8</v>
      </c>
      <c r="B15" s="149">
        <v>25666</v>
      </c>
      <c r="C15" s="56">
        <f>الجدول13[[#This Row],[L]]*2.18</f>
        <v>55951.880000000005</v>
      </c>
      <c r="D15" s="149">
        <v>12366</v>
      </c>
      <c r="E15" s="56">
        <f>2.33*الجدول13[[#This Row],[L2]]</f>
        <v>28812.780000000002</v>
      </c>
      <c r="F15" s="149">
        <v>3223</v>
      </c>
      <c r="G15" s="120">
        <f>0.75*الجدول13[[#This Row],[L3]]</f>
        <v>2417.25</v>
      </c>
      <c r="H15" s="121">
        <f>الجدول13[[#This Row],[SR3]]+الجدول13[[#This Row],[SR2]]+الجدول13[[#This Row],[SR]]</f>
        <v>87181.91</v>
      </c>
      <c r="I15" s="122">
        <v>21119.93</v>
      </c>
      <c r="J15" s="122">
        <v>65570.81</v>
      </c>
      <c r="K15" s="122">
        <v>491</v>
      </c>
      <c r="R15" s="10">
        <f>MIN(E8:E28)</f>
        <v>22778.080000000002</v>
      </c>
      <c r="S15" t="s">
        <v>92</v>
      </c>
    </row>
    <row r="16" spans="1:19" ht="15.75" x14ac:dyDescent="0.2">
      <c r="A16" s="56">
        <v>9</v>
      </c>
      <c r="B16" s="149">
        <v>27985</v>
      </c>
      <c r="C16" s="56">
        <f>الجدول13[[#This Row],[L]]*2.18</f>
        <v>61007.3</v>
      </c>
      <c r="D16" s="149">
        <v>14056</v>
      </c>
      <c r="E16" s="56">
        <f>2.33*الجدول13[[#This Row],[L2]]</f>
        <v>32750.48</v>
      </c>
      <c r="F16" s="149">
        <v>6881</v>
      </c>
      <c r="G16" s="120">
        <f>0.75*الجدول13[[#This Row],[L3]]</f>
        <v>5160.75</v>
      </c>
      <c r="H16" s="121">
        <f>الجدول13[[#This Row],[SR3]]+الجدول13[[#This Row],[SR2]]+الجدول13[[#This Row],[SR]]</f>
        <v>98918.53</v>
      </c>
      <c r="I16" s="122">
        <v>27473.05</v>
      </c>
      <c r="J16" s="122">
        <v>70443.08</v>
      </c>
      <c r="K16" s="122">
        <v>1002</v>
      </c>
    </row>
    <row r="17" spans="1:19" ht="15.75" x14ac:dyDescent="0.2">
      <c r="A17" s="56">
        <v>10</v>
      </c>
      <c r="B17" s="149">
        <v>32664</v>
      </c>
      <c r="C17" s="56">
        <f>الجدول13[[#This Row],[L]]*2.18</f>
        <v>71207.520000000004</v>
      </c>
      <c r="D17" s="149">
        <v>11702</v>
      </c>
      <c r="E17" s="56">
        <f>2.33*الجدول13[[#This Row],[L2]]</f>
        <v>27265.66</v>
      </c>
      <c r="F17" s="149">
        <v>5344</v>
      </c>
      <c r="G17" s="120">
        <f>0.75*الجدول13[[#This Row],[L3]]</f>
        <v>4008</v>
      </c>
      <c r="H17" s="121">
        <f>الجدول13[[#This Row],[SR3]]+الجدول13[[#This Row],[SR2]]+الجدول13[[#This Row],[SR]]</f>
        <v>102481.18000000001</v>
      </c>
      <c r="I17" s="122" t="s">
        <v>432</v>
      </c>
      <c r="J17" s="122">
        <v>75882.47</v>
      </c>
      <c r="K17" s="122">
        <v>5860</v>
      </c>
    </row>
    <row r="18" spans="1:19" ht="15.75" x14ac:dyDescent="0.2">
      <c r="A18" s="56">
        <v>11</v>
      </c>
      <c r="B18" s="149">
        <v>32860</v>
      </c>
      <c r="C18" s="56">
        <f>الجدول13[[#This Row],[L]]*2.18</f>
        <v>71634.8</v>
      </c>
      <c r="D18" s="149">
        <v>12489</v>
      </c>
      <c r="E18" s="56">
        <f>2.33*الجدول13[[#This Row],[L2]]</f>
        <v>29099.370000000003</v>
      </c>
      <c r="F18" s="149">
        <v>5015</v>
      </c>
      <c r="G18" s="120">
        <f>0.75*الجدول13[[#This Row],[L3]]</f>
        <v>3761.25</v>
      </c>
      <c r="H18" s="121">
        <f>الجدول13[[#This Row],[SR3]]+الجدول13[[#This Row],[SR2]]+الجدول13[[#This Row],[SR]]</f>
        <v>104495.42000000001</v>
      </c>
      <c r="I18" s="122">
        <v>25413.19</v>
      </c>
      <c r="J18" s="122">
        <v>75451.23</v>
      </c>
      <c r="K18" s="122">
        <v>3581</v>
      </c>
      <c r="R18" s="348" t="s">
        <v>93</v>
      </c>
      <c r="S18" s="348"/>
    </row>
    <row r="19" spans="1:19" ht="15.75" x14ac:dyDescent="0.2">
      <c r="A19" s="56">
        <v>12</v>
      </c>
      <c r="B19" s="149">
        <v>21708</v>
      </c>
      <c r="C19" s="56">
        <f>الجدول13[[#This Row],[L]]*2.18</f>
        <v>47323.44</v>
      </c>
      <c r="D19" s="149">
        <v>11460</v>
      </c>
      <c r="E19" s="56">
        <f>2.33*الجدول13[[#This Row],[L2]]</f>
        <v>26701.8</v>
      </c>
      <c r="F19" s="149">
        <v>1508</v>
      </c>
      <c r="G19" s="120">
        <f>0.75*الجدول13[[#This Row],[L3]]</f>
        <v>1131</v>
      </c>
      <c r="H19" s="121">
        <f>الجدول13[[#This Row],[SR3]]+الجدول13[[#This Row],[SR2]]+الجدول13[[#This Row],[SR]]</f>
        <v>75156.240000000005</v>
      </c>
      <c r="I19" s="122">
        <v>17071</v>
      </c>
      <c r="J19" s="122">
        <v>56751.44</v>
      </c>
      <c r="K19" s="122">
        <v>1334</v>
      </c>
      <c r="R19" s="58">
        <f>AVERAGE(F8:F38)</f>
        <v>4811.0476190476193</v>
      </c>
      <c r="S19" t="s">
        <v>91</v>
      </c>
    </row>
    <row r="20" spans="1:19" ht="15.75" x14ac:dyDescent="0.2">
      <c r="A20" s="56">
        <v>13</v>
      </c>
      <c r="B20" s="149">
        <v>23558</v>
      </c>
      <c r="C20" s="56">
        <f>الجدول13[[#This Row],[L]]*2.18</f>
        <v>51356.44</v>
      </c>
      <c r="D20" s="149">
        <v>11534</v>
      </c>
      <c r="E20" s="56">
        <f>2.33*الجدول13[[#This Row],[L2]]</f>
        <v>26874.22</v>
      </c>
      <c r="F20" s="149">
        <v>6738</v>
      </c>
      <c r="G20" s="120">
        <f>0.75*الجدول13[[#This Row],[L3]]</f>
        <v>5053.5</v>
      </c>
      <c r="H20" s="121">
        <f>الجدول13[[#This Row],[SR3]]+الجدول13[[#This Row],[SR2]]+الجدول13[[#This Row],[SR]]</f>
        <v>83284.160000000003</v>
      </c>
      <c r="I20" s="122">
        <v>20603</v>
      </c>
      <c r="J20" s="122">
        <v>58212.5</v>
      </c>
      <c r="K20" s="122">
        <v>4469</v>
      </c>
      <c r="R20" s="58">
        <f>MAX(F8:F38)</f>
        <v>8627</v>
      </c>
      <c r="S20" t="s">
        <v>122</v>
      </c>
    </row>
    <row r="21" spans="1:19" ht="15.75" x14ac:dyDescent="0.2">
      <c r="A21" s="56">
        <v>14</v>
      </c>
      <c r="B21" s="149">
        <v>27270</v>
      </c>
      <c r="C21" s="56">
        <f>الجدول13[[#This Row],[L]]*2.18</f>
        <v>59448.600000000006</v>
      </c>
      <c r="D21" s="149">
        <v>12346</v>
      </c>
      <c r="E21" s="56">
        <f>2.33*الجدول13[[#This Row],[L2]]</f>
        <v>28766.18</v>
      </c>
      <c r="F21" s="149">
        <v>6043</v>
      </c>
      <c r="G21" s="120">
        <f>0.75*الجدول13[[#This Row],[L3]]</f>
        <v>4532.25</v>
      </c>
      <c r="H21" s="121">
        <f>الجدول13[[#This Row],[SR3]]+الجدول13[[#This Row],[SR2]]+الجدول13[[#This Row],[SR]]</f>
        <v>92747.03</v>
      </c>
      <c r="I21" s="122">
        <v>22640</v>
      </c>
      <c r="J21" s="122">
        <v>64624.24</v>
      </c>
      <c r="K21" s="122">
        <v>5483</v>
      </c>
      <c r="R21" s="58">
        <f>MIN(F8:F28)</f>
        <v>1463</v>
      </c>
      <c r="S21" t="s">
        <v>92</v>
      </c>
    </row>
    <row r="22" spans="1:19" ht="15.75" x14ac:dyDescent="0.2">
      <c r="A22" s="56">
        <v>15</v>
      </c>
      <c r="B22" s="149">
        <v>26719</v>
      </c>
      <c r="C22" s="56">
        <f>الجدول13[[#This Row],[L]]*2.18</f>
        <v>58247.420000000006</v>
      </c>
      <c r="D22" s="149">
        <v>12402</v>
      </c>
      <c r="E22" s="56">
        <f>2.33*الجدول13[[#This Row],[L2]]</f>
        <v>28896.66</v>
      </c>
      <c r="F22" s="149">
        <v>4711</v>
      </c>
      <c r="G22" s="120">
        <f>0.75*الجدول13[[#This Row],[L3]]</f>
        <v>3533.25</v>
      </c>
      <c r="H22" s="121">
        <f>الجدول13[[#This Row],[SR3]]+الجدول13[[#This Row],[SR2]]+الجدول13[[#This Row],[SR]]</f>
        <v>90677.33</v>
      </c>
      <c r="I22" s="122">
        <v>23799</v>
      </c>
      <c r="J22" s="122">
        <v>65442.98</v>
      </c>
      <c r="K22" s="122">
        <v>1297.0999999999999</v>
      </c>
    </row>
    <row r="23" spans="1:19" ht="15.75" x14ac:dyDescent="0.2">
      <c r="A23" s="56">
        <v>16</v>
      </c>
      <c r="B23" s="217">
        <v>24534</v>
      </c>
      <c r="C23" s="244">
        <f>الجدول13[[#This Row],[L]]*2.18</f>
        <v>53484.12</v>
      </c>
      <c r="D23" s="217">
        <v>13287</v>
      </c>
      <c r="E23" s="244">
        <f>2.33*الجدول13[[#This Row],[L2]]</f>
        <v>30958.71</v>
      </c>
      <c r="F23" s="217">
        <v>8627</v>
      </c>
      <c r="G23" s="247">
        <f>0.75*الجدول13[[#This Row],[L3]]</f>
        <v>6470.25</v>
      </c>
      <c r="H23" s="121">
        <f>الجدول13[[#This Row],[SR3]]+الجدول13[[#This Row],[SR2]]+الجدول13[[#This Row],[SR]]</f>
        <v>90913.08</v>
      </c>
      <c r="I23" s="122">
        <v>22381</v>
      </c>
      <c r="J23" s="122">
        <v>64935.839999999997</v>
      </c>
      <c r="K23" s="122">
        <v>3596</v>
      </c>
    </row>
    <row r="24" spans="1:19" ht="15.75" x14ac:dyDescent="0.2">
      <c r="A24" s="56">
        <v>17</v>
      </c>
      <c r="B24" s="149">
        <v>28113</v>
      </c>
      <c r="C24" s="56">
        <f>الجدول13[[#This Row],[L]]*2.18</f>
        <v>61286.340000000004</v>
      </c>
      <c r="D24" s="149">
        <v>12094</v>
      </c>
      <c r="E24" s="56">
        <f>2.33*الجدول13[[#This Row],[L2]]</f>
        <v>28179.02</v>
      </c>
      <c r="F24" s="149">
        <v>4770</v>
      </c>
      <c r="G24" s="120">
        <f>0.75*الجدول13[[#This Row],[L3]]</f>
        <v>3577.5</v>
      </c>
      <c r="H24" s="186">
        <f>الجدول13[[#This Row],[SR3]]+الجدول13[[#This Row],[SR2]]+الجدول13[[#This Row],[SR]]</f>
        <v>93042.86</v>
      </c>
      <c r="I24" s="245">
        <v>24534</v>
      </c>
      <c r="J24" s="245">
        <v>66148.679999999993</v>
      </c>
      <c r="K24" s="246">
        <v>2310</v>
      </c>
      <c r="R24" s="147" t="s">
        <v>121</v>
      </c>
      <c r="S24" s="147"/>
    </row>
    <row r="25" spans="1:19" ht="15.75" x14ac:dyDescent="0.2">
      <c r="A25" s="56">
        <v>18</v>
      </c>
      <c r="B25" s="149">
        <v>23260</v>
      </c>
      <c r="C25" s="56">
        <f>الجدول13[[#This Row],[L]]*2.18</f>
        <v>50706.8</v>
      </c>
      <c r="D25" s="149">
        <v>14966</v>
      </c>
      <c r="E25" s="56">
        <f>2.33*الجدول13[[#This Row],[L2]]</f>
        <v>34870.78</v>
      </c>
      <c r="F25" s="149">
        <v>5617</v>
      </c>
      <c r="G25" s="120">
        <f>0.75*الجدول13[[#This Row],[L3]]</f>
        <v>4212.75</v>
      </c>
      <c r="H25" s="121">
        <f>الجدول13[[#This Row],[SR3]]+الجدول13[[#This Row],[SR2]]+الجدول13[[#This Row],[SR]]</f>
        <v>89790.33</v>
      </c>
      <c r="I25" s="122">
        <v>24191</v>
      </c>
      <c r="J25" s="122">
        <v>61507.3</v>
      </c>
      <c r="K25" s="122">
        <v>4092</v>
      </c>
      <c r="R25" s="66">
        <f>AVERAGE(H8:H38)</f>
        <v>60156.488064516147</v>
      </c>
      <c r="S25" t="s">
        <v>91</v>
      </c>
    </row>
    <row r="26" spans="1:19" ht="15.75" x14ac:dyDescent="0.2">
      <c r="A26" s="56">
        <v>19</v>
      </c>
      <c r="B26" s="217">
        <v>22180</v>
      </c>
      <c r="C26" s="218">
        <f>الجدول13[[#This Row],[L]]*2.18</f>
        <v>48352.4</v>
      </c>
      <c r="D26" s="217">
        <v>9776</v>
      </c>
      <c r="E26" s="218">
        <f>2.33*الجدول13[[#This Row],[L2]]</f>
        <v>22778.080000000002</v>
      </c>
      <c r="F26" s="217">
        <v>1950</v>
      </c>
      <c r="G26" s="218">
        <f>0.75*الجدول13[[#This Row],[L3]]</f>
        <v>1462.5</v>
      </c>
      <c r="H26" s="219">
        <f>الجدول13[[#This Row],[SR3]]+الجدول13[[#This Row],[SR2]]+الجدول13[[#This Row],[SR]]</f>
        <v>72592.98000000001</v>
      </c>
      <c r="I26" s="220">
        <v>18090</v>
      </c>
      <c r="J26" s="220">
        <v>53901.56</v>
      </c>
      <c r="K26" s="220">
        <v>601</v>
      </c>
      <c r="R26" s="66">
        <f>MAX(H2:H38)</f>
        <v>104495.42000000001</v>
      </c>
      <c r="S26" t="s">
        <v>122</v>
      </c>
    </row>
    <row r="27" spans="1:19" ht="15.75" x14ac:dyDescent="0.2">
      <c r="A27" s="56">
        <v>20</v>
      </c>
      <c r="B27" s="149">
        <v>24827</v>
      </c>
      <c r="C27" s="56">
        <f>الجدول13[[#This Row],[L]]*2.18</f>
        <v>54122.86</v>
      </c>
      <c r="D27" s="149">
        <v>11550</v>
      </c>
      <c r="E27" s="56">
        <f>2.33*الجدول13[[#This Row],[L2]]</f>
        <v>26911.5</v>
      </c>
      <c r="F27" s="149">
        <v>7448</v>
      </c>
      <c r="G27" s="120">
        <f>0.75*الجدول13[[#This Row],[L3]]</f>
        <v>5586</v>
      </c>
      <c r="H27" s="219">
        <f>الجدول13[[#This Row],[SR3]]+الجدول13[[#This Row],[SR2]]+الجدول13[[#This Row],[SR]]</f>
        <v>86620.36</v>
      </c>
      <c r="I27" s="122">
        <v>24428</v>
      </c>
      <c r="J27" s="122">
        <v>57553.23</v>
      </c>
      <c r="K27" s="122">
        <v>4639</v>
      </c>
      <c r="R27" s="66">
        <f>MIN(H8:H28)</f>
        <v>72592.98000000001</v>
      </c>
      <c r="S27" t="s">
        <v>92</v>
      </c>
    </row>
    <row r="28" spans="1:19" ht="15.75" x14ac:dyDescent="0.2">
      <c r="A28" s="120">
        <v>21</v>
      </c>
      <c r="B28" s="217">
        <v>25611</v>
      </c>
      <c r="C28" s="218">
        <f>الجدول13[[#This Row],[L]]*2.18</f>
        <v>55831.98</v>
      </c>
      <c r="D28" s="217">
        <v>11625</v>
      </c>
      <c r="E28" s="218">
        <f>2.33*الجدول13[[#This Row],[L2]]</f>
        <v>27086.25</v>
      </c>
      <c r="F28" s="217">
        <v>3625</v>
      </c>
      <c r="G28" s="218">
        <f>0.75*الجدول13[[#This Row],[L3]]</f>
        <v>2718.75</v>
      </c>
      <c r="H28" s="219">
        <f>الجدول13[[#This Row],[SR3]]+الجدول13[[#This Row],[SR2]]+الجدول13[[#This Row],[SR]]</f>
        <v>85636.98000000001</v>
      </c>
      <c r="I28" s="220">
        <v>22410</v>
      </c>
      <c r="J28" s="220">
        <v>62251.199999999997</v>
      </c>
      <c r="K28" s="220">
        <v>976</v>
      </c>
    </row>
    <row r="29" spans="1:19" ht="15.75" x14ac:dyDescent="0.2">
      <c r="A29" s="56">
        <v>22</v>
      </c>
      <c r="B29" s="149"/>
      <c r="C29" s="56">
        <f>الجدول13[[#This Row],[L]]*2.18</f>
        <v>0</v>
      </c>
      <c r="D29" s="149"/>
      <c r="E29" s="56">
        <f>2.33*الجدول13[[#This Row],[L2]]</f>
        <v>0</v>
      </c>
      <c r="F29" s="149"/>
      <c r="G29" s="120">
        <f>0.75*الجدول13[[#This Row],[L3]]</f>
        <v>0</v>
      </c>
      <c r="H29" s="219">
        <f>الجدول13[[#This Row],[SR3]]+الجدول13[[#This Row],[SR2]]+الجدول13[[#This Row],[SR]]</f>
        <v>0</v>
      </c>
      <c r="I29" s="122"/>
      <c r="J29" s="122"/>
      <c r="K29" s="122"/>
      <c r="R29" s="349" t="s">
        <v>163</v>
      </c>
      <c r="S29" s="349"/>
    </row>
    <row r="30" spans="1:19" ht="15.75" x14ac:dyDescent="0.2">
      <c r="A30" s="56">
        <v>23</v>
      </c>
      <c r="B30" s="149"/>
      <c r="C30" s="56">
        <f>الجدول13[[#This Row],[L]]*2.18</f>
        <v>0</v>
      </c>
      <c r="D30" s="149"/>
      <c r="E30" s="56">
        <f>2.33*الجدول13[[#This Row],[L2]]</f>
        <v>0</v>
      </c>
      <c r="F30" s="149"/>
      <c r="G30" s="120">
        <f>0.75*الجدول13[[#This Row],[L3]]</f>
        <v>0</v>
      </c>
      <c r="H30" s="219">
        <f>الجدول13[[#This Row],[SR3]]+الجدول13[[#This Row],[SR2]]+الجدول13[[#This Row],[SR]]</f>
        <v>0</v>
      </c>
      <c r="I30" s="122"/>
      <c r="J30" s="122"/>
      <c r="K30" s="122"/>
      <c r="R30" s="151">
        <f>AVERAGE(الجدول13[CASH])</f>
        <v>21797.889499999997</v>
      </c>
      <c r="S30" t="s">
        <v>91</v>
      </c>
    </row>
    <row r="31" spans="1:19" ht="15.75" x14ac:dyDescent="0.2">
      <c r="A31" s="123">
        <v>24</v>
      </c>
      <c r="B31" s="149"/>
      <c r="C31" s="56">
        <f>الجدول13[[#This Row],[L]]*2.18</f>
        <v>0</v>
      </c>
      <c r="D31" s="149"/>
      <c r="E31" s="56">
        <f>2.33*الجدول13[[#This Row],[L2]]</f>
        <v>0</v>
      </c>
      <c r="F31" s="149"/>
      <c r="G31" s="120">
        <f>0.75*الجدول13[[#This Row],[L3]]</f>
        <v>0</v>
      </c>
      <c r="H31" s="219">
        <f>الجدول13[[#This Row],[SR3]]+الجدول13[[#This Row],[SR2]]+الجدول13[[#This Row],[SR]]</f>
        <v>0</v>
      </c>
      <c r="I31" s="122"/>
      <c r="J31" s="122"/>
      <c r="K31" s="122"/>
      <c r="R31" s="151">
        <f>MAX(الجدول13[CASH])</f>
        <v>27473.05</v>
      </c>
      <c r="S31" t="s">
        <v>122</v>
      </c>
    </row>
    <row r="32" spans="1:19" ht="15.75" x14ac:dyDescent="0.2">
      <c r="A32" s="56">
        <v>25</v>
      </c>
      <c r="B32" s="149"/>
      <c r="C32" s="56">
        <f>الجدول13[[#This Row],[L]]*2.18</f>
        <v>0</v>
      </c>
      <c r="D32" s="149"/>
      <c r="E32" s="56">
        <f>2.33*الجدول13[[#This Row],[L2]]</f>
        <v>0</v>
      </c>
      <c r="F32" s="149"/>
      <c r="G32" s="120">
        <f>0.75*الجدول13[[#This Row],[L3]]</f>
        <v>0</v>
      </c>
      <c r="H32" s="219">
        <f>الجدول13[[#This Row],[SR3]]+الجدول13[[#This Row],[SR2]]+الجدول13[[#This Row],[SR]]</f>
        <v>0</v>
      </c>
      <c r="I32" s="122"/>
      <c r="J32" s="122"/>
      <c r="K32" s="122"/>
      <c r="R32" s="151">
        <f>MIN(الجدول13[CASH])</f>
        <v>17071</v>
      </c>
      <c r="S32" t="s">
        <v>92</v>
      </c>
    </row>
    <row r="33" spans="1:19" ht="15.75" x14ac:dyDescent="0.2">
      <c r="A33" s="56">
        <v>26</v>
      </c>
      <c r="B33" s="149"/>
      <c r="C33" s="56">
        <f>الجدول13[[#This Row],[L]]*2.18</f>
        <v>0</v>
      </c>
      <c r="D33" s="149"/>
      <c r="E33" s="56">
        <f>2.33*الجدول13[[#This Row],[L2]]</f>
        <v>0</v>
      </c>
      <c r="F33" s="149"/>
      <c r="G33" s="120">
        <f>0.75*الجدول13[[#This Row],[L3]]</f>
        <v>0</v>
      </c>
      <c r="H33" s="219">
        <f>الجدول13[[#This Row],[SR3]]+الجدول13[[#This Row],[SR2]]+الجدول13[[#This Row],[SR]]</f>
        <v>0</v>
      </c>
      <c r="I33" s="122"/>
      <c r="J33" s="122"/>
      <c r="K33" s="122"/>
    </row>
    <row r="34" spans="1:19" ht="15.75" x14ac:dyDescent="0.2">
      <c r="A34" s="56">
        <v>27</v>
      </c>
      <c r="B34" s="149"/>
      <c r="C34" s="56">
        <f>الجدول13[[#This Row],[L]]*2.18</f>
        <v>0</v>
      </c>
      <c r="D34" s="149"/>
      <c r="E34" s="56">
        <f>2.33*الجدول13[[#This Row],[L2]]</f>
        <v>0</v>
      </c>
      <c r="F34" s="149"/>
      <c r="G34" s="120">
        <f>0.75*الجدول13[[#This Row],[L3]]</f>
        <v>0</v>
      </c>
      <c r="H34" s="219">
        <f>الجدول13[[#This Row],[SR3]]+الجدول13[[#This Row],[SR2]]+الجدول13[[#This Row],[SR]]</f>
        <v>0</v>
      </c>
      <c r="I34" s="122"/>
      <c r="J34" s="122"/>
      <c r="K34" s="122"/>
      <c r="R34" s="349" t="s">
        <v>29</v>
      </c>
      <c r="S34" s="349"/>
    </row>
    <row r="35" spans="1:19" ht="15.75" x14ac:dyDescent="0.2">
      <c r="A35" s="56">
        <v>28</v>
      </c>
      <c r="B35" s="149"/>
      <c r="C35" s="56">
        <f>الجدول13[[#This Row],[L]]*2.18</f>
        <v>0</v>
      </c>
      <c r="D35" s="149"/>
      <c r="E35" s="56">
        <f>2.33*الجدول13[[#This Row],[L2]]</f>
        <v>0</v>
      </c>
      <c r="F35" s="149"/>
      <c r="G35" s="120">
        <f>0.75*الجدول13[[#This Row],[L3]]</f>
        <v>0</v>
      </c>
      <c r="H35" s="219">
        <f>الجدول13[[#This Row],[SR3]]+الجدول13[[#This Row],[SR2]]+الجدول13[[#This Row],[SR]]</f>
        <v>0</v>
      </c>
      <c r="I35" s="122"/>
      <c r="J35" s="122"/>
      <c r="K35" s="122"/>
      <c r="R35" s="151">
        <f>AVERAGE(الجدول13[ATM])</f>
        <v>64602.064761904752</v>
      </c>
      <c r="S35" t="s">
        <v>91</v>
      </c>
    </row>
    <row r="36" spans="1:19" ht="15.75" x14ac:dyDescent="0.2">
      <c r="A36" s="56">
        <v>29</v>
      </c>
      <c r="B36" s="149"/>
      <c r="C36" s="56">
        <f>الجدول13[[#This Row],[L]]*2.18</f>
        <v>0</v>
      </c>
      <c r="D36" s="149"/>
      <c r="E36" s="56">
        <f>2.33*الجدول13[[#This Row],[L2]]</f>
        <v>0</v>
      </c>
      <c r="F36" s="149"/>
      <c r="G36" s="120">
        <f>0.75*الجدول13[[#This Row],[L3]]</f>
        <v>0</v>
      </c>
      <c r="H36" s="219">
        <f>الجدول13[[#This Row],[SR3]]+الجدول13[[#This Row],[SR2]]+الجدول13[[#This Row],[SR]]</f>
        <v>0</v>
      </c>
      <c r="I36" s="122"/>
      <c r="J36" s="122"/>
      <c r="K36" s="122"/>
      <c r="R36" s="151">
        <f>MAX(الجدول13[ATM])</f>
        <v>75882.47</v>
      </c>
      <c r="S36" t="s">
        <v>122</v>
      </c>
    </row>
    <row r="37" spans="1:19" ht="15.75" x14ac:dyDescent="0.2">
      <c r="A37" s="120">
        <v>30</v>
      </c>
      <c r="B37" s="125"/>
      <c r="C37" s="120">
        <f>الجدول13[[#This Row],[L]]*2.18</f>
        <v>0</v>
      </c>
      <c r="D37" s="125"/>
      <c r="E37" s="120">
        <f>2.33*الجدول13[[#This Row],[L2]]</f>
        <v>0</v>
      </c>
      <c r="F37" s="125"/>
      <c r="G37" s="120">
        <f>0.75*الجدول13[[#This Row],[L3]]</f>
        <v>0</v>
      </c>
      <c r="H37" s="219">
        <f>الجدول13[[#This Row],[SR3]]+الجدول13[[#This Row],[SR2]]+الجدول13[[#This Row],[SR]]</f>
        <v>0</v>
      </c>
      <c r="I37" s="126"/>
      <c r="J37" s="126"/>
      <c r="K37" s="126"/>
      <c r="L37" s="127"/>
      <c r="M37" s="127"/>
      <c r="N37" s="127"/>
      <c r="O37" s="127"/>
      <c r="R37" s="151">
        <f>MIN(الجدول13[ATM])</f>
        <v>53901.56</v>
      </c>
      <c r="S37" t="s">
        <v>92</v>
      </c>
    </row>
    <row r="38" spans="1:19" ht="15.75" x14ac:dyDescent="0.2">
      <c r="A38" s="148">
        <v>31</v>
      </c>
      <c r="B38" s="124"/>
      <c r="C38" s="56">
        <f>الجدول13[[#This Row],[L]]*2.18</f>
        <v>0</v>
      </c>
      <c r="D38" s="124"/>
      <c r="E38" s="56">
        <f>2.33*الجدول13[[#This Row],[L2]]</f>
        <v>0</v>
      </c>
      <c r="F38" s="124"/>
      <c r="G38" s="120">
        <f>0.75*الجدول13[[#This Row],[L3]]</f>
        <v>0</v>
      </c>
      <c r="H38" s="219">
        <f>الجدول13[[#This Row],[SR3]]+الجدول13[[#This Row],[SR2]]+الجدول13[[#This Row],[SR]]</f>
        <v>0</v>
      </c>
      <c r="I38" s="122"/>
      <c r="J38" s="122"/>
      <c r="K38" s="122"/>
    </row>
    <row r="39" spans="1:19" ht="14.25" customHeight="1" x14ac:dyDescent="0.2">
      <c r="A39" s="340" t="s">
        <v>31</v>
      </c>
      <c r="B39" s="343">
        <f>SUM(الجدول13[L])</f>
        <v>541985</v>
      </c>
      <c r="C39" s="343">
        <f>SUM(الجدول13[SR])</f>
        <v>1181527.3</v>
      </c>
      <c r="D39" s="343">
        <f>SUM(الجدول13[L2])</f>
        <v>260751</v>
      </c>
      <c r="E39" s="343">
        <f>SUM(الجدول13[SR2])</f>
        <v>607549.82999999984</v>
      </c>
      <c r="F39" s="343">
        <f>SUM(الجدول13[L3])</f>
        <v>101032</v>
      </c>
      <c r="G39" s="343">
        <f>SUM(الجدول13[SR3])</f>
        <v>75774</v>
      </c>
      <c r="H39" s="343">
        <f>SUM(الجدول13[TOTAL])</f>
        <v>1864851.1300000006</v>
      </c>
      <c r="I39" s="343">
        <f>SUM(الجدول13[CASH])</f>
        <v>435957.79</v>
      </c>
      <c r="J39" s="343">
        <f>SUM(الجدول13[ATM])</f>
        <v>1356643.3599999999</v>
      </c>
      <c r="K39" s="343">
        <f>SUM(الجدول13[BIL])</f>
        <v>51271.57</v>
      </c>
      <c r="R39" s="349" t="s">
        <v>30</v>
      </c>
      <c r="S39" s="349"/>
    </row>
    <row r="40" spans="1:19" ht="14.25" customHeight="1" x14ac:dyDescent="0.2">
      <c r="A40" s="341"/>
      <c r="B40" s="343"/>
      <c r="C40" s="343"/>
      <c r="D40" s="343"/>
      <c r="E40" s="343"/>
      <c r="F40" s="343"/>
      <c r="G40" s="343"/>
      <c r="H40" s="343"/>
      <c r="I40" s="343"/>
      <c r="J40" s="343"/>
      <c r="K40" s="343"/>
      <c r="R40" s="151">
        <f>AVERAGE(الجدول13[BIL])</f>
        <v>2441.5033333333331</v>
      </c>
      <c r="S40" t="s">
        <v>91</v>
      </c>
    </row>
    <row r="41" spans="1:19" ht="15" customHeight="1" thickBot="1" x14ac:dyDescent="0.25">
      <c r="A41" s="342"/>
      <c r="B41" s="344"/>
      <c r="C41" s="344"/>
      <c r="D41" s="344"/>
      <c r="E41" s="344"/>
      <c r="F41" s="344"/>
      <c r="G41" s="344"/>
      <c r="H41" s="344"/>
      <c r="I41" s="344"/>
      <c r="J41" s="344"/>
      <c r="K41" s="344"/>
      <c r="R41" s="151">
        <f>MAX(الجدول13[BIL])</f>
        <v>5860</v>
      </c>
      <c r="S41" t="s">
        <v>122</v>
      </c>
    </row>
    <row r="42" spans="1:19" ht="15" x14ac:dyDescent="0.25">
      <c r="A42" s="338" t="s">
        <v>32</v>
      </c>
      <c r="B42" s="338"/>
      <c r="C42" s="338"/>
      <c r="D42" s="338"/>
      <c r="E42" s="338"/>
      <c r="F42" s="338"/>
      <c r="N42" s="18" t="s">
        <v>33</v>
      </c>
      <c r="R42" s="151">
        <f>MIN(الجدول13[BIL])</f>
        <v>364</v>
      </c>
      <c r="S42" t="s">
        <v>92</v>
      </c>
    </row>
    <row r="43" spans="1:19" ht="15" x14ac:dyDescent="0.25">
      <c r="A43" s="339"/>
      <c r="B43" s="339"/>
      <c r="C43" s="339"/>
      <c r="D43" s="339"/>
      <c r="E43" s="339"/>
      <c r="F43" s="339"/>
      <c r="M43" s="345" t="s">
        <v>34</v>
      </c>
      <c r="N43" s="345"/>
      <c r="O43" s="345"/>
    </row>
    <row r="51" spans="1:11" ht="15" thickBot="1" x14ac:dyDescent="0.25"/>
    <row r="52" spans="1:11" ht="15" thickBot="1" x14ac:dyDescent="0.25">
      <c r="A52" s="229"/>
      <c r="B52" s="226" t="s">
        <v>293</v>
      </c>
      <c r="C52" s="228" t="s">
        <v>286</v>
      </c>
      <c r="D52" s="228"/>
      <c r="E52" s="228" t="s">
        <v>287</v>
      </c>
      <c r="F52" s="228"/>
      <c r="G52" s="228" t="s">
        <v>143</v>
      </c>
      <c r="H52" s="228" t="s">
        <v>288</v>
      </c>
      <c r="I52" s="228" t="s">
        <v>289</v>
      </c>
      <c r="J52" s="228" t="s">
        <v>290</v>
      </c>
      <c r="K52" s="227" t="s">
        <v>215</v>
      </c>
    </row>
    <row r="53" spans="1:11" x14ac:dyDescent="0.2">
      <c r="A53" s="223"/>
      <c r="B53" s="225" t="s">
        <v>291</v>
      </c>
      <c r="C53" s="225">
        <f>SUM(C8:C13)</f>
        <v>324667.40000000002</v>
      </c>
      <c r="D53" s="225"/>
      <c r="E53" s="225">
        <f>SUM(E8:E13)</f>
        <v>179559.12</v>
      </c>
      <c r="F53" s="225"/>
      <c r="G53" s="225">
        <f>SUM(G8:G13)</f>
        <v>19007.25</v>
      </c>
      <c r="H53" s="225">
        <f>SUM(H8:H13)</f>
        <v>523233.77</v>
      </c>
      <c r="I53" s="225">
        <f>SUM(I8:I13)</f>
        <v>118785.62000000001</v>
      </c>
      <c r="J53" s="225">
        <f>SUM(J8:J13)</f>
        <v>393454.99</v>
      </c>
      <c r="K53" s="225">
        <f>SUM(K8:K13)</f>
        <v>10992.47</v>
      </c>
    </row>
    <row r="54" spans="1:11" x14ac:dyDescent="0.2">
      <c r="A54" s="223"/>
      <c r="B54" s="223" t="s">
        <v>294</v>
      </c>
      <c r="C54" s="224">
        <v>354369.9</v>
      </c>
      <c r="D54" s="223"/>
      <c r="E54" s="224">
        <v>169088.1</v>
      </c>
      <c r="F54" s="223"/>
      <c r="G54" s="224">
        <v>13247.04</v>
      </c>
      <c r="H54" s="224">
        <v>536705.04</v>
      </c>
      <c r="I54" s="224">
        <v>115937</v>
      </c>
      <c r="J54" s="224">
        <v>404745.86</v>
      </c>
      <c r="K54" s="224">
        <v>16020</v>
      </c>
    </row>
    <row r="55" spans="1:11" x14ac:dyDescent="0.2">
      <c r="A55" s="223"/>
      <c r="B55" s="223" t="s">
        <v>292</v>
      </c>
      <c r="C55" s="223">
        <f>SUM(C53:C54)</f>
        <v>679037.3</v>
      </c>
      <c r="D55" s="223"/>
      <c r="E55" s="223">
        <f>SUM(E53:E54)</f>
        <v>348647.22</v>
      </c>
      <c r="F55" s="223"/>
      <c r="G55" s="223">
        <f>SUM(G53:G54)</f>
        <v>32254.29</v>
      </c>
      <c r="H55" s="223">
        <f>SUM(H53:H54)</f>
        <v>1059938.81</v>
      </c>
      <c r="I55" s="223">
        <f>SUM(I53:I54)</f>
        <v>234722.62</v>
      </c>
      <c r="J55" s="223">
        <f>SUM(J53:J54)</f>
        <v>798200.85</v>
      </c>
      <c r="K55" s="223">
        <f>SUM(K53:K54)</f>
        <v>27012.47</v>
      </c>
    </row>
    <row r="56" spans="1:11" x14ac:dyDescent="0.2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</row>
  </sheetData>
  <mergeCells count="26">
    <mergeCell ref="M43:O43"/>
    <mergeCell ref="R6:S6"/>
    <mergeCell ref="R12:S12"/>
    <mergeCell ref="R18:S18"/>
    <mergeCell ref="R29:S29"/>
    <mergeCell ref="R34:S34"/>
    <mergeCell ref="R39:S39"/>
    <mergeCell ref="G39:G41"/>
    <mergeCell ref="H39:H41"/>
    <mergeCell ref="I39:I41"/>
    <mergeCell ref="J39:J41"/>
    <mergeCell ref="K39:K41"/>
    <mergeCell ref="A42:F43"/>
    <mergeCell ref="A39:A41"/>
    <mergeCell ref="B39:B41"/>
    <mergeCell ref="C39:C41"/>
    <mergeCell ref="D39:D41"/>
    <mergeCell ref="E39:E41"/>
    <mergeCell ref="F39:F41"/>
    <mergeCell ref="A1:F1"/>
    <mergeCell ref="B2:D2"/>
    <mergeCell ref="B3:D3"/>
    <mergeCell ref="B6:C6"/>
    <mergeCell ref="D6:E6"/>
    <mergeCell ref="F6:G6"/>
    <mergeCell ref="G2:J3"/>
  </mergeCells>
  <conditionalFormatting sqref="R13:S13 R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{962BEA4D-D77E-4289-B800-7AAA875E98E8}</x14:id>
        </ext>
      </extLst>
    </cfRule>
  </conditionalFormatting>
  <conditionalFormatting sqref="R7:S9 R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{99B4E26A-DCB0-4972-8E45-2949C2481C27}</x14:id>
        </ext>
      </extLst>
    </cfRule>
  </conditionalFormatting>
  <pageMargins left="0.7" right="0.7" top="0.75" bottom="0.75" header="0.3" footer="0.3"/>
  <pageSetup scale="68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2BEA4D-D77E-4289-B800-7AAA875E98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R13:S13 R12</xm:sqref>
        </x14:conditionalFormatting>
        <x14:conditionalFormatting xmlns:xm="http://schemas.microsoft.com/office/excel/2006/main">
          <x14:cfRule type="dataBar" id="{99B4E26A-DCB0-4972-8E45-2949C2481C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R7:S9 R6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0B91-BDB2-4FBC-8899-C069B83A2C2B}">
  <dimension ref="A1:C38"/>
  <sheetViews>
    <sheetView rightToLeft="1" workbookViewId="0">
      <selection activeCell="A29" sqref="A29"/>
    </sheetView>
  </sheetViews>
  <sheetFormatPr defaultRowHeight="14.25" x14ac:dyDescent="0.2"/>
  <cols>
    <col min="1" max="1" width="15.625" customWidth="1"/>
    <col min="2" max="2" width="18.625" customWidth="1"/>
    <col min="3" max="3" width="15.125" customWidth="1"/>
    <col min="7" max="7" width="14.625" customWidth="1"/>
  </cols>
  <sheetData>
    <row r="1" spans="1:3" x14ac:dyDescent="0.2">
      <c r="A1" t="s">
        <v>258</v>
      </c>
      <c r="B1" t="s">
        <v>259</v>
      </c>
    </row>
    <row r="2" spans="1:3" x14ac:dyDescent="0.2">
      <c r="A2" s="187">
        <v>81469.429999999993</v>
      </c>
      <c r="B2">
        <v>88546.54</v>
      </c>
      <c r="C2" s="188">
        <f>B2-A2</f>
        <v>7077.1100000000006</v>
      </c>
    </row>
    <row r="3" spans="1:3" x14ac:dyDescent="0.2">
      <c r="A3" s="187">
        <v>86091.43</v>
      </c>
      <c r="B3">
        <v>93911.13</v>
      </c>
      <c r="C3" s="188">
        <f t="shared" ref="C3:C28" si="0">B3-A3</f>
        <v>7819.7000000000116</v>
      </c>
    </row>
    <row r="4" spans="1:3" x14ac:dyDescent="0.2">
      <c r="A4" s="249">
        <v>81012.83</v>
      </c>
      <c r="B4" s="10">
        <v>88612.28</v>
      </c>
      <c r="C4" s="188">
        <f t="shared" si="0"/>
        <v>7599.4499999999971</v>
      </c>
    </row>
    <row r="5" spans="1:3" x14ac:dyDescent="0.2">
      <c r="A5" s="187">
        <v>85624.54</v>
      </c>
      <c r="B5">
        <v>93570.09</v>
      </c>
      <c r="C5" s="188">
        <f t="shared" si="0"/>
        <v>7945.5500000000029</v>
      </c>
    </row>
    <row r="6" spans="1:3" x14ac:dyDescent="0.2">
      <c r="A6" s="187"/>
      <c r="C6" s="188">
        <f t="shared" si="0"/>
        <v>0</v>
      </c>
    </row>
    <row r="7" spans="1:3" x14ac:dyDescent="0.2">
      <c r="A7" s="187"/>
      <c r="C7" s="188">
        <f t="shared" si="0"/>
        <v>0</v>
      </c>
    </row>
    <row r="8" spans="1:3" x14ac:dyDescent="0.2">
      <c r="A8" s="249"/>
      <c r="B8" s="10"/>
      <c r="C8" s="188">
        <f t="shared" si="0"/>
        <v>0</v>
      </c>
    </row>
    <row r="9" spans="1:3" x14ac:dyDescent="0.2">
      <c r="A9" s="187"/>
      <c r="C9" s="188">
        <f t="shared" si="0"/>
        <v>0</v>
      </c>
    </row>
    <row r="10" spans="1:3" x14ac:dyDescent="0.2">
      <c r="A10" s="187"/>
      <c r="C10" s="188">
        <f t="shared" si="0"/>
        <v>0</v>
      </c>
    </row>
    <row r="11" spans="1:3" x14ac:dyDescent="0.2">
      <c r="A11" s="187"/>
      <c r="C11" s="188">
        <f t="shared" si="0"/>
        <v>0</v>
      </c>
    </row>
    <row r="12" spans="1:3" x14ac:dyDescent="0.2">
      <c r="A12" s="187"/>
      <c r="C12" s="188">
        <f t="shared" si="0"/>
        <v>0</v>
      </c>
    </row>
    <row r="13" spans="1:3" x14ac:dyDescent="0.2">
      <c r="A13" s="249"/>
      <c r="B13" s="10"/>
      <c r="C13" s="188">
        <f t="shared" si="0"/>
        <v>0</v>
      </c>
    </row>
    <row r="14" spans="1:3" x14ac:dyDescent="0.2">
      <c r="A14" s="187"/>
      <c r="C14" s="188">
        <f t="shared" si="0"/>
        <v>0</v>
      </c>
    </row>
    <row r="15" spans="1:3" x14ac:dyDescent="0.2">
      <c r="A15" s="187"/>
      <c r="C15" s="188">
        <f t="shared" si="0"/>
        <v>0</v>
      </c>
    </row>
    <row r="16" spans="1:3" x14ac:dyDescent="0.2">
      <c r="A16" s="187"/>
      <c r="C16" s="188">
        <f t="shared" si="0"/>
        <v>0</v>
      </c>
    </row>
    <row r="17" spans="1:3" x14ac:dyDescent="0.2">
      <c r="A17" s="187"/>
      <c r="C17" s="188">
        <f t="shared" si="0"/>
        <v>0</v>
      </c>
    </row>
    <row r="18" spans="1:3" x14ac:dyDescent="0.2">
      <c r="A18" s="187"/>
      <c r="C18" s="188">
        <f t="shared" si="0"/>
        <v>0</v>
      </c>
    </row>
    <row r="19" spans="1:3" x14ac:dyDescent="0.2">
      <c r="A19" s="187"/>
      <c r="C19" s="188">
        <f t="shared" si="0"/>
        <v>0</v>
      </c>
    </row>
    <row r="20" spans="1:3" x14ac:dyDescent="0.2">
      <c r="A20" s="187"/>
      <c r="C20" s="188">
        <f t="shared" si="0"/>
        <v>0</v>
      </c>
    </row>
    <row r="21" spans="1:3" x14ac:dyDescent="0.2">
      <c r="A21" s="187"/>
      <c r="C21" s="188">
        <f t="shared" si="0"/>
        <v>0</v>
      </c>
    </row>
    <row r="22" spans="1:3" x14ac:dyDescent="0.2">
      <c r="A22" s="187"/>
      <c r="C22" s="188">
        <f t="shared" si="0"/>
        <v>0</v>
      </c>
    </row>
    <row r="23" spans="1:3" x14ac:dyDescent="0.2">
      <c r="A23" s="187"/>
      <c r="C23" s="188">
        <f t="shared" si="0"/>
        <v>0</v>
      </c>
    </row>
    <row r="24" spans="1:3" x14ac:dyDescent="0.2">
      <c r="A24" s="187"/>
      <c r="C24" s="188">
        <f t="shared" si="0"/>
        <v>0</v>
      </c>
    </row>
    <row r="25" spans="1:3" x14ac:dyDescent="0.2">
      <c r="A25" s="189"/>
      <c r="C25" s="188">
        <f t="shared" si="0"/>
        <v>0</v>
      </c>
    </row>
    <row r="26" spans="1:3" x14ac:dyDescent="0.2">
      <c r="A26" s="189"/>
      <c r="C26" s="188">
        <f t="shared" si="0"/>
        <v>0</v>
      </c>
    </row>
    <row r="27" spans="1:3" x14ac:dyDescent="0.2">
      <c r="A27" s="189"/>
      <c r="C27" s="188">
        <f t="shared" si="0"/>
        <v>0</v>
      </c>
    </row>
    <row r="28" spans="1:3" x14ac:dyDescent="0.2">
      <c r="A28" s="189"/>
      <c r="C28" s="188">
        <f t="shared" si="0"/>
        <v>0</v>
      </c>
    </row>
    <row r="29" spans="1:3" ht="15" x14ac:dyDescent="0.25">
      <c r="A29" s="189"/>
      <c r="B29" s="231"/>
      <c r="C29" s="188">
        <f t="shared" ref="C29:C37" si="1">B29-A29</f>
        <v>0</v>
      </c>
    </row>
    <row r="30" spans="1:3" ht="15" x14ac:dyDescent="0.25">
      <c r="B30" s="231"/>
      <c r="C30" s="188"/>
    </row>
    <row r="31" spans="1:3" x14ac:dyDescent="0.2">
      <c r="C31" s="188">
        <f t="shared" si="1"/>
        <v>0</v>
      </c>
    </row>
    <row r="32" spans="1:3" x14ac:dyDescent="0.2">
      <c r="C32" s="188">
        <f t="shared" si="1"/>
        <v>0</v>
      </c>
    </row>
    <row r="33" spans="3:3" x14ac:dyDescent="0.2">
      <c r="C33" s="188">
        <f t="shared" si="1"/>
        <v>0</v>
      </c>
    </row>
    <row r="34" spans="3:3" x14ac:dyDescent="0.2">
      <c r="C34" s="188">
        <f t="shared" si="1"/>
        <v>0</v>
      </c>
    </row>
    <row r="35" spans="3:3" x14ac:dyDescent="0.2">
      <c r="C35" s="188">
        <f t="shared" si="1"/>
        <v>0</v>
      </c>
    </row>
    <row r="36" spans="3:3" x14ac:dyDescent="0.2">
      <c r="C36" s="188">
        <f t="shared" si="1"/>
        <v>0</v>
      </c>
    </row>
    <row r="37" spans="3:3" x14ac:dyDescent="0.2">
      <c r="C37" s="188">
        <f t="shared" si="1"/>
        <v>0</v>
      </c>
    </row>
    <row r="38" spans="3:3" x14ac:dyDescent="0.2">
      <c r="C38" s="188">
        <f>SUM(C2:C12)</f>
        <v>30441.810000000012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5BE0-E788-4130-916D-3B131AA444DC}">
  <sheetPr>
    <tabColor theme="9"/>
  </sheetPr>
  <dimension ref="A1:G65"/>
  <sheetViews>
    <sheetView rightToLeft="1" workbookViewId="0">
      <selection activeCell="D50" sqref="D50"/>
    </sheetView>
  </sheetViews>
  <sheetFormatPr defaultRowHeight="14.25" x14ac:dyDescent="0.2"/>
  <cols>
    <col min="2" max="2" width="31.75" customWidth="1"/>
    <col min="3" max="3" width="15" customWidth="1"/>
    <col min="4" max="4" width="9.875" customWidth="1"/>
    <col min="5" max="5" width="10.25" customWidth="1"/>
    <col min="6" max="6" width="14.625" customWidth="1"/>
  </cols>
  <sheetData>
    <row r="1" spans="1:7" ht="23.25" customHeight="1" x14ac:dyDescent="0.2">
      <c r="A1" s="132" t="s">
        <v>68</v>
      </c>
      <c r="B1" s="132"/>
      <c r="C1" s="132"/>
      <c r="D1" s="132"/>
      <c r="E1" s="132"/>
      <c r="F1" s="132"/>
    </row>
    <row r="2" spans="1:7" ht="22.5" customHeight="1" x14ac:dyDescent="0.2">
      <c r="A2" s="79"/>
      <c r="B2" s="335" t="s">
        <v>11</v>
      </c>
      <c r="C2" s="335"/>
      <c r="D2" s="335"/>
      <c r="E2" s="80"/>
      <c r="F2" s="79"/>
    </row>
    <row r="3" spans="1:7" ht="22.5" customHeight="1" x14ac:dyDescent="0.2">
      <c r="A3" s="79"/>
      <c r="B3" s="335" t="s">
        <v>12</v>
      </c>
      <c r="C3" s="335"/>
      <c r="D3" s="335"/>
      <c r="E3" s="80"/>
      <c r="F3" s="79"/>
    </row>
    <row r="6" spans="1:7" ht="26.25" customHeight="1" x14ac:dyDescent="0.4">
      <c r="C6" s="350" t="s">
        <v>162</v>
      </c>
      <c r="D6" s="350"/>
      <c r="G6" s="131"/>
    </row>
    <row r="7" spans="1:7" ht="15" x14ac:dyDescent="0.2">
      <c r="A7" s="134" t="s">
        <v>0</v>
      </c>
      <c r="B7" s="130" t="s">
        <v>65</v>
      </c>
      <c r="C7" s="130" t="s">
        <v>152</v>
      </c>
      <c r="D7" s="130" t="s">
        <v>151</v>
      </c>
      <c r="E7" s="130" t="s">
        <v>154</v>
      </c>
      <c r="F7" s="130" t="s">
        <v>120</v>
      </c>
    </row>
    <row r="8" spans="1:7" x14ac:dyDescent="0.2">
      <c r="A8">
        <v>1</v>
      </c>
      <c r="B8" s="129" t="s">
        <v>195</v>
      </c>
      <c r="C8" s="129"/>
      <c r="D8" s="129"/>
      <c r="E8" s="129"/>
      <c r="F8">
        <v>25459.8</v>
      </c>
    </row>
    <row r="9" spans="1:7" x14ac:dyDescent="0.2">
      <c r="A9">
        <v>2</v>
      </c>
      <c r="B9" t="s">
        <v>373</v>
      </c>
      <c r="C9">
        <v>32006.9</v>
      </c>
      <c r="F9">
        <f>F8+C8-D8-E8</f>
        <v>25459.8</v>
      </c>
    </row>
    <row r="10" spans="1:7" x14ac:dyDescent="0.2">
      <c r="A10">
        <v>3</v>
      </c>
      <c r="B10" t="s">
        <v>374</v>
      </c>
      <c r="D10">
        <v>24903</v>
      </c>
      <c r="F10">
        <f t="shared" ref="F10:F59" si="0">F9+C9-D9-E9</f>
        <v>57466.7</v>
      </c>
    </row>
    <row r="11" spans="1:7" x14ac:dyDescent="0.2">
      <c r="A11">
        <v>3</v>
      </c>
      <c r="B11" s="184" t="s">
        <v>375</v>
      </c>
      <c r="C11" s="184"/>
      <c r="D11" s="184"/>
      <c r="E11" s="184">
        <v>669.5</v>
      </c>
      <c r="F11">
        <f t="shared" si="0"/>
        <v>32563.699999999997</v>
      </c>
    </row>
    <row r="12" spans="1:7" x14ac:dyDescent="0.2">
      <c r="A12">
        <v>3</v>
      </c>
      <c r="B12" t="s">
        <v>378</v>
      </c>
      <c r="C12">
        <v>32011.5</v>
      </c>
      <c r="F12">
        <f t="shared" si="0"/>
        <v>31894.199999999997</v>
      </c>
    </row>
    <row r="13" spans="1:7" x14ac:dyDescent="0.2">
      <c r="A13">
        <v>3</v>
      </c>
      <c r="B13" t="s">
        <v>374</v>
      </c>
      <c r="D13">
        <v>25927</v>
      </c>
      <c r="F13">
        <f t="shared" si="0"/>
        <v>63905.7</v>
      </c>
    </row>
    <row r="14" spans="1:7" x14ac:dyDescent="0.2">
      <c r="A14">
        <v>3</v>
      </c>
      <c r="B14" t="s">
        <v>384</v>
      </c>
      <c r="C14">
        <v>32000.2</v>
      </c>
      <c r="F14">
        <f t="shared" si="0"/>
        <v>37978.699999999997</v>
      </c>
    </row>
    <row r="15" spans="1:7" x14ac:dyDescent="0.2">
      <c r="A15">
        <v>3</v>
      </c>
      <c r="B15" t="s">
        <v>385</v>
      </c>
      <c r="D15">
        <v>26068</v>
      </c>
      <c r="F15">
        <f t="shared" si="0"/>
        <v>69978.899999999994</v>
      </c>
    </row>
    <row r="16" spans="1:7" x14ac:dyDescent="0.2">
      <c r="A16">
        <v>3</v>
      </c>
      <c r="B16" t="s">
        <v>386</v>
      </c>
      <c r="C16">
        <v>32047.3</v>
      </c>
      <c r="F16">
        <f t="shared" si="0"/>
        <v>43910.899999999994</v>
      </c>
    </row>
    <row r="17" spans="1:6" x14ac:dyDescent="0.2">
      <c r="A17">
        <v>3</v>
      </c>
      <c r="B17" t="s">
        <v>387</v>
      </c>
      <c r="D17">
        <v>26832</v>
      </c>
      <c r="F17">
        <f t="shared" si="0"/>
        <v>75958.2</v>
      </c>
    </row>
    <row r="18" spans="1:6" x14ac:dyDescent="0.2">
      <c r="A18">
        <v>3</v>
      </c>
      <c r="B18" t="s">
        <v>389</v>
      </c>
      <c r="D18">
        <v>22492</v>
      </c>
      <c r="F18">
        <f t="shared" si="0"/>
        <v>49126.2</v>
      </c>
    </row>
    <row r="19" spans="1:6" x14ac:dyDescent="0.2">
      <c r="A19">
        <v>3</v>
      </c>
      <c r="B19" t="s">
        <v>394</v>
      </c>
      <c r="C19">
        <v>32000.9</v>
      </c>
      <c r="F19">
        <f t="shared" si="0"/>
        <v>26634.199999999997</v>
      </c>
    </row>
    <row r="20" spans="1:6" x14ac:dyDescent="0.2">
      <c r="A20">
        <v>3</v>
      </c>
      <c r="B20" t="s">
        <v>395</v>
      </c>
      <c r="D20">
        <v>22708</v>
      </c>
      <c r="F20">
        <f t="shared" si="0"/>
        <v>58635.1</v>
      </c>
    </row>
    <row r="21" spans="1:6" ht="16.5" customHeight="1" x14ac:dyDescent="0.2">
      <c r="A21">
        <v>3</v>
      </c>
      <c r="B21" t="s">
        <v>400</v>
      </c>
      <c r="C21">
        <v>32001.8</v>
      </c>
      <c r="F21">
        <f t="shared" si="0"/>
        <v>35927.1</v>
      </c>
    </row>
    <row r="22" spans="1:6" x14ac:dyDescent="0.2">
      <c r="A22">
        <v>3</v>
      </c>
      <c r="B22" t="s">
        <v>401</v>
      </c>
      <c r="D22">
        <v>26100</v>
      </c>
      <c r="F22">
        <f t="shared" si="0"/>
        <v>67928.899999999994</v>
      </c>
    </row>
    <row r="23" spans="1:6" x14ac:dyDescent="0.2">
      <c r="A23">
        <v>3</v>
      </c>
      <c r="B23" t="s">
        <v>413</v>
      </c>
      <c r="C23">
        <v>32011.599999999999</v>
      </c>
      <c r="F23">
        <f t="shared" si="0"/>
        <v>41828.899999999994</v>
      </c>
    </row>
    <row r="24" spans="1:6" x14ac:dyDescent="0.2">
      <c r="A24">
        <v>3</v>
      </c>
      <c r="B24" t="s">
        <v>414</v>
      </c>
      <c r="D24">
        <v>25666</v>
      </c>
      <c r="F24">
        <f t="shared" si="0"/>
        <v>73840.5</v>
      </c>
    </row>
    <row r="25" spans="1:6" x14ac:dyDescent="0.2">
      <c r="A25">
        <v>3</v>
      </c>
      <c r="B25" t="s">
        <v>416</v>
      </c>
      <c r="C25" s="234">
        <v>32000.9</v>
      </c>
      <c r="F25">
        <f t="shared" si="0"/>
        <v>48174.5</v>
      </c>
    </row>
    <row r="26" spans="1:6" x14ac:dyDescent="0.2">
      <c r="A26">
        <v>3</v>
      </c>
      <c r="B26" t="s">
        <v>415</v>
      </c>
      <c r="D26">
        <v>27985</v>
      </c>
      <c r="F26">
        <f t="shared" si="0"/>
        <v>80175.399999999994</v>
      </c>
    </row>
    <row r="27" spans="1:6" x14ac:dyDescent="0.2">
      <c r="A27">
        <v>3</v>
      </c>
      <c r="B27" t="s">
        <v>433</v>
      </c>
      <c r="D27">
        <v>32664</v>
      </c>
      <c r="F27">
        <f t="shared" si="0"/>
        <v>52190.399999999994</v>
      </c>
    </row>
    <row r="28" spans="1:6" x14ac:dyDescent="0.2">
      <c r="A28">
        <v>3</v>
      </c>
      <c r="B28" t="s">
        <v>440</v>
      </c>
      <c r="C28">
        <v>32000.6</v>
      </c>
      <c r="F28">
        <f t="shared" si="0"/>
        <v>19526.399999999994</v>
      </c>
    </row>
    <row r="29" spans="1:6" x14ac:dyDescent="0.2">
      <c r="A29">
        <v>3</v>
      </c>
      <c r="B29" t="s">
        <v>441</v>
      </c>
      <c r="C29">
        <v>32046.9</v>
      </c>
      <c r="F29">
        <f t="shared" si="0"/>
        <v>51526.999999999993</v>
      </c>
    </row>
    <row r="30" spans="1:6" x14ac:dyDescent="0.2">
      <c r="A30">
        <v>3</v>
      </c>
      <c r="B30" t="s">
        <v>442</v>
      </c>
      <c r="D30">
        <v>32860</v>
      </c>
      <c r="F30">
        <f t="shared" si="0"/>
        <v>83573.899999999994</v>
      </c>
    </row>
    <row r="31" spans="1:6" x14ac:dyDescent="0.2">
      <c r="A31">
        <v>3</v>
      </c>
      <c r="B31" t="s">
        <v>443</v>
      </c>
      <c r="D31">
        <v>21708</v>
      </c>
      <c r="F31">
        <f t="shared" si="0"/>
        <v>50713.899999999994</v>
      </c>
    </row>
    <row r="32" spans="1:6" x14ac:dyDescent="0.2">
      <c r="A32">
        <v>3</v>
      </c>
      <c r="B32" t="s">
        <v>457</v>
      </c>
      <c r="C32">
        <v>32022.9</v>
      </c>
      <c r="F32">
        <f t="shared" si="0"/>
        <v>29005.899999999994</v>
      </c>
    </row>
    <row r="33" spans="1:6" x14ac:dyDescent="0.2">
      <c r="A33">
        <v>3</v>
      </c>
      <c r="B33" t="s">
        <v>458</v>
      </c>
      <c r="D33">
        <v>23558</v>
      </c>
      <c r="F33">
        <f t="shared" si="0"/>
        <v>61028.799999999996</v>
      </c>
    </row>
    <row r="34" spans="1:6" x14ac:dyDescent="0.2">
      <c r="A34">
        <v>3</v>
      </c>
      <c r="B34" t="s">
        <v>459</v>
      </c>
      <c r="C34">
        <v>32020.5</v>
      </c>
      <c r="F34">
        <f t="shared" si="0"/>
        <v>37470.799999999996</v>
      </c>
    </row>
    <row r="35" spans="1:6" x14ac:dyDescent="0.2">
      <c r="A35">
        <v>3</v>
      </c>
      <c r="B35" t="s">
        <v>460</v>
      </c>
      <c r="D35">
        <v>27270</v>
      </c>
      <c r="F35">
        <f t="shared" si="0"/>
        <v>69491.299999999988</v>
      </c>
    </row>
    <row r="36" spans="1:6" x14ac:dyDescent="0.2">
      <c r="A36">
        <v>3</v>
      </c>
      <c r="B36" t="s">
        <v>463</v>
      </c>
      <c r="C36">
        <v>32028.799999999999</v>
      </c>
      <c r="F36">
        <f t="shared" si="0"/>
        <v>42221.299999999988</v>
      </c>
    </row>
    <row r="37" spans="1:6" x14ac:dyDescent="0.2">
      <c r="A37">
        <v>3</v>
      </c>
      <c r="B37" t="s">
        <v>464</v>
      </c>
      <c r="D37">
        <v>26719</v>
      </c>
      <c r="F37">
        <f t="shared" si="0"/>
        <v>74250.099999999991</v>
      </c>
    </row>
    <row r="38" spans="1:6" x14ac:dyDescent="0.2">
      <c r="A38">
        <v>3</v>
      </c>
      <c r="B38" t="s">
        <v>474</v>
      </c>
      <c r="C38">
        <v>32013</v>
      </c>
      <c r="F38">
        <f t="shared" si="0"/>
        <v>47531.099999999991</v>
      </c>
    </row>
    <row r="39" spans="1:6" x14ac:dyDescent="0.2">
      <c r="A39">
        <v>3</v>
      </c>
      <c r="B39" t="s">
        <v>475</v>
      </c>
      <c r="D39">
        <v>24534</v>
      </c>
      <c r="F39">
        <f t="shared" si="0"/>
        <v>79544.099999999991</v>
      </c>
    </row>
    <row r="40" spans="1:6" x14ac:dyDescent="0.2">
      <c r="A40">
        <v>3</v>
      </c>
      <c r="B40" t="s">
        <v>486</v>
      </c>
      <c r="D40">
        <v>28113</v>
      </c>
      <c r="F40">
        <f t="shared" si="0"/>
        <v>55010.099999999991</v>
      </c>
    </row>
    <row r="41" spans="1:6" x14ac:dyDescent="0.2">
      <c r="A41">
        <v>3</v>
      </c>
      <c r="B41" t="s">
        <v>490</v>
      </c>
      <c r="D41">
        <v>23260</v>
      </c>
      <c r="F41">
        <f t="shared" si="0"/>
        <v>26897.099999999991</v>
      </c>
    </row>
    <row r="42" spans="1:6" x14ac:dyDescent="0.2">
      <c r="A42">
        <v>3</v>
      </c>
      <c r="B42" t="s">
        <v>491</v>
      </c>
      <c r="E42">
        <v>3637</v>
      </c>
      <c r="F42">
        <f t="shared" si="0"/>
        <v>3637.0999999999913</v>
      </c>
    </row>
    <row r="43" spans="1:6" x14ac:dyDescent="0.2">
      <c r="A43">
        <v>3</v>
      </c>
      <c r="B43" t="s">
        <v>492</v>
      </c>
      <c r="C43">
        <v>32004.1</v>
      </c>
      <c r="F43">
        <f t="shared" si="0"/>
        <v>9.9999999991268851E-2</v>
      </c>
    </row>
    <row r="44" spans="1:6" x14ac:dyDescent="0.2">
      <c r="A44">
        <v>3</v>
      </c>
      <c r="B44" t="s">
        <v>493</v>
      </c>
      <c r="C44">
        <v>32059.200000000001</v>
      </c>
      <c r="F44">
        <f t="shared" si="0"/>
        <v>32004.19999999999</v>
      </c>
    </row>
    <row r="45" spans="1:6" x14ac:dyDescent="0.2">
      <c r="A45">
        <v>3</v>
      </c>
      <c r="B45" t="s">
        <v>494</v>
      </c>
      <c r="D45">
        <v>22180</v>
      </c>
      <c r="F45">
        <f t="shared" si="0"/>
        <v>64063.399999999994</v>
      </c>
    </row>
    <row r="46" spans="1:6" x14ac:dyDescent="0.2">
      <c r="A46">
        <v>3</v>
      </c>
      <c r="B46" t="s">
        <v>501</v>
      </c>
      <c r="C46">
        <v>32020.9</v>
      </c>
      <c r="F46">
        <f t="shared" si="0"/>
        <v>41883.399999999994</v>
      </c>
    </row>
    <row r="47" spans="1:6" x14ac:dyDescent="0.2">
      <c r="A47">
        <v>3</v>
      </c>
      <c r="B47" t="s">
        <v>502</v>
      </c>
      <c r="D47">
        <v>24827</v>
      </c>
      <c r="F47">
        <f t="shared" si="0"/>
        <v>73904.299999999988</v>
      </c>
    </row>
    <row r="48" spans="1:6" x14ac:dyDescent="0.2">
      <c r="A48">
        <v>3</v>
      </c>
      <c r="B48" t="s">
        <v>504</v>
      </c>
      <c r="C48">
        <v>32051.8</v>
      </c>
      <c r="F48">
        <f t="shared" si="0"/>
        <v>49077.299999999988</v>
      </c>
    </row>
    <row r="49" spans="1:6" x14ac:dyDescent="0.2">
      <c r="A49">
        <v>3</v>
      </c>
      <c r="B49" t="s">
        <v>505</v>
      </c>
      <c r="D49">
        <v>25611</v>
      </c>
      <c r="F49">
        <f t="shared" si="0"/>
        <v>81129.099999999991</v>
      </c>
    </row>
    <row r="50" spans="1:6" x14ac:dyDescent="0.2">
      <c r="A50">
        <v>3</v>
      </c>
      <c r="F50">
        <f t="shared" si="0"/>
        <v>55518.099999999991</v>
      </c>
    </row>
    <row r="51" spans="1:6" x14ac:dyDescent="0.2">
      <c r="A51">
        <v>3</v>
      </c>
      <c r="F51">
        <f t="shared" si="0"/>
        <v>55518.099999999991</v>
      </c>
    </row>
    <row r="52" spans="1:6" x14ac:dyDescent="0.2">
      <c r="A52">
        <v>3</v>
      </c>
      <c r="F52">
        <f t="shared" si="0"/>
        <v>55518.099999999991</v>
      </c>
    </row>
    <row r="53" spans="1:6" x14ac:dyDescent="0.2">
      <c r="A53">
        <v>3</v>
      </c>
      <c r="F53">
        <f t="shared" si="0"/>
        <v>55518.099999999991</v>
      </c>
    </row>
    <row r="54" spans="1:6" x14ac:dyDescent="0.2">
      <c r="A54">
        <v>3</v>
      </c>
      <c r="F54">
        <f t="shared" si="0"/>
        <v>55518.099999999991</v>
      </c>
    </row>
    <row r="55" spans="1:6" x14ac:dyDescent="0.2">
      <c r="A55">
        <v>3</v>
      </c>
      <c r="F55">
        <f t="shared" si="0"/>
        <v>55518.099999999991</v>
      </c>
    </row>
    <row r="56" spans="1:6" x14ac:dyDescent="0.2">
      <c r="A56">
        <v>3</v>
      </c>
      <c r="F56">
        <f t="shared" si="0"/>
        <v>55518.099999999991</v>
      </c>
    </row>
    <row r="57" spans="1:6" x14ac:dyDescent="0.2">
      <c r="A57">
        <v>3</v>
      </c>
      <c r="F57">
        <f t="shared" si="0"/>
        <v>55518.099999999991</v>
      </c>
    </row>
    <row r="58" spans="1:6" x14ac:dyDescent="0.2">
      <c r="A58">
        <v>3</v>
      </c>
      <c r="F58">
        <f t="shared" si="0"/>
        <v>55518.099999999991</v>
      </c>
    </row>
    <row r="59" spans="1:6" x14ac:dyDescent="0.2">
      <c r="A59">
        <v>3</v>
      </c>
      <c r="F59">
        <f t="shared" si="0"/>
        <v>55518.099999999991</v>
      </c>
    </row>
    <row r="60" spans="1:6" x14ac:dyDescent="0.2">
      <c r="A60">
        <v>3</v>
      </c>
    </row>
    <row r="61" spans="1:6" x14ac:dyDescent="0.2">
      <c r="A61">
        <v>3</v>
      </c>
    </row>
    <row r="62" spans="1:6" x14ac:dyDescent="0.2">
      <c r="A62">
        <v>3</v>
      </c>
    </row>
    <row r="63" spans="1:6" ht="17.25" customHeight="1" x14ac:dyDescent="0.2">
      <c r="A63">
        <v>3</v>
      </c>
    </row>
    <row r="64" spans="1:6" x14ac:dyDescent="0.2">
      <c r="A64">
        <v>3</v>
      </c>
    </row>
    <row r="65" spans="1:1" x14ac:dyDescent="0.2">
      <c r="A65">
        <v>3</v>
      </c>
    </row>
  </sheetData>
  <mergeCells count="3">
    <mergeCell ref="C6:D6"/>
    <mergeCell ref="B2:D2"/>
    <mergeCell ref="B3:D3"/>
  </mergeCells>
  <phoneticPr fontId="3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E3E4-926D-46CF-8F9E-825B135C6647}">
  <sheetPr>
    <tabColor rgb="FFFF0000"/>
  </sheetPr>
  <dimension ref="A1:F131"/>
  <sheetViews>
    <sheetView rightToLeft="1" topLeftCell="A28" workbookViewId="0">
      <selection activeCell="B40" sqref="B40"/>
    </sheetView>
  </sheetViews>
  <sheetFormatPr defaultRowHeight="14.25" x14ac:dyDescent="0.2"/>
  <cols>
    <col min="2" max="2" width="26" customWidth="1"/>
    <col min="3" max="3" width="15.125" customWidth="1"/>
    <col min="4" max="4" width="12.125" customWidth="1"/>
    <col min="5" max="5" width="9" customWidth="1"/>
    <col min="6" max="6" width="16" customWidth="1"/>
  </cols>
  <sheetData>
    <row r="1" spans="1:6" ht="15.75" x14ac:dyDescent="0.2">
      <c r="A1" s="132" t="s">
        <v>68</v>
      </c>
      <c r="B1" s="132"/>
      <c r="C1" s="132"/>
      <c r="D1" s="132"/>
      <c r="E1" s="132"/>
      <c r="F1" s="132"/>
    </row>
    <row r="2" spans="1:6" ht="15.75" x14ac:dyDescent="0.2">
      <c r="A2" s="79"/>
      <c r="B2" s="335" t="s">
        <v>11</v>
      </c>
      <c r="C2" s="335"/>
      <c r="D2" s="335"/>
      <c r="E2" s="80"/>
      <c r="F2" s="79"/>
    </row>
    <row r="3" spans="1:6" ht="15.75" x14ac:dyDescent="0.2">
      <c r="A3" s="79"/>
      <c r="B3" s="335" t="s">
        <v>12</v>
      </c>
      <c r="C3" s="335"/>
      <c r="D3" s="335"/>
      <c r="E3" s="80"/>
      <c r="F3" s="79"/>
    </row>
    <row r="7" spans="1:6" ht="15.75" x14ac:dyDescent="0.25">
      <c r="C7" s="351" t="s">
        <v>153</v>
      </c>
      <c r="D7" s="351"/>
    </row>
    <row r="8" spans="1:6" ht="15" x14ac:dyDescent="0.2">
      <c r="A8" t="s">
        <v>0</v>
      </c>
      <c r="B8" s="130" t="s">
        <v>65</v>
      </c>
      <c r="C8" s="130" t="s">
        <v>152</v>
      </c>
      <c r="D8" s="130" t="s">
        <v>151</v>
      </c>
      <c r="E8" s="130" t="s">
        <v>154</v>
      </c>
      <c r="F8" s="130" t="s">
        <v>120</v>
      </c>
    </row>
    <row r="9" spans="1:6" ht="18" x14ac:dyDescent="0.25">
      <c r="A9">
        <v>1</v>
      </c>
      <c r="B9" s="135" t="s">
        <v>197</v>
      </c>
      <c r="C9" s="129"/>
      <c r="D9" s="129"/>
      <c r="E9" s="129"/>
      <c r="F9" s="129">
        <v>31686.2</v>
      </c>
    </row>
    <row r="10" spans="1:6" ht="18" x14ac:dyDescent="0.25">
      <c r="B10" s="131" t="s">
        <v>374</v>
      </c>
      <c r="D10" s="24">
        <v>13475</v>
      </c>
      <c r="F10">
        <f>F9+C9-D9-E9</f>
        <v>31686.2</v>
      </c>
    </row>
    <row r="11" spans="1:6" ht="18" x14ac:dyDescent="0.25">
      <c r="B11" s="131" t="s">
        <v>379</v>
      </c>
      <c r="C11">
        <v>32002.400000000001</v>
      </c>
      <c r="D11" s="24"/>
      <c r="F11">
        <f t="shared" ref="F11:F41" si="0">F10+C10-D10-E10</f>
        <v>18211.2</v>
      </c>
    </row>
    <row r="12" spans="1:6" ht="18" x14ac:dyDescent="0.2">
      <c r="B12" s="194" t="s">
        <v>380</v>
      </c>
      <c r="D12" s="24">
        <v>14219</v>
      </c>
      <c r="F12">
        <f t="shared" si="0"/>
        <v>50213.600000000006</v>
      </c>
    </row>
    <row r="13" spans="1:6" ht="18" x14ac:dyDescent="0.2">
      <c r="B13" s="194" t="s">
        <v>385</v>
      </c>
      <c r="D13" s="24">
        <v>12138</v>
      </c>
      <c r="F13">
        <f t="shared" si="0"/>
        <v>35994.600000000006</v>
      </c>
    </row>
    <row r="14" spans="1:6" ht="18" x14ac:dyDescent="0.2">
      <c r="B14" s="194" t="s">
        <v>388</v>
      </c>
      <c r="C14">
        <v>32001</v>
      </c>
      <c r="D14" s="24"/>
      <c r="F14">
        <f t="shared" si="0"/>
        <v>23856.600000000006</v>
      </c>
    </row>
    <row r="15" spans="1:6" ht="18" x14ac:dyDescent="0.25">
      <c r="B15" s="131" t="s">
        <v>387</v>
      </c>
      <c r="D15" s="24">
        <v>13551</v>
      </c>
      <c r="F15">
        <f t="shared" si="0"/>
        <v>55857.600000000006</v>
      </c>
    </row>
    <row r="16" spans="1:6" ht="18" x14ac:dyDescent="0.25">
      <c r="B16" s="131" t="s">
        <v>389</v>
      </c>
      <c r="D16" s="24">
        <v>11397</v>
      </c>
      <c r="F16">
        <f t="shared" si="0"/>
        <v>42306.600000000006</v>
      </c>
    </row>
    <row r="17" spans="2:6" ht="18" x14ac:dyDescent="0.25">
      <c r="B17" s="131" t="s">
        <v>395</v>
      </c>
      <c r="D17" s="24">
        <v>12284</v>
      </c>
      <c r="F17">
        <f t="shared" si="0"/>
        <v>30909.600000000006</v>
      </c>
    </row>
    <row r="18" spans="2:6" ht="18" x14ac:dyDescent="0.25">
      <c r="B18" s="131" t="s">
        <v>402</v>
      </c>
      <c r="C18">
        <v>32001</v>
      </c>
      <c r="D18" s="24"/>
      <c r="F18">
        <f t="shared" si="0"/>
        <v>18625.600000000006</v>
      </c>
    </row>
    <row r="19" spans="2:6" ht="18" x14ac:dyDescent="0.25">
      <c r="B19" s="131" t="s">
        <v>401</v>
      </c>
      <c r="D19" s="24">
        <v>12034</v>
      </c>
      <c r="F19">
        <f t="shared" si="0"/>
        <v>50626.600000000006</v>
      </c>
    </row>
    <row r="20" spans="2:6" ht="18" x14ac:dyDescent="0.25">
      <c r="B20" s="131" t="s">
        <v>414</v>
      </c>
      <c r="D20" s="24">
        <v>12366</v>
      </c>
      <c r="F20">
        <f t="shared" si="0"/>
        <v>38592.600000000006</v>
      </c>
    </row>
    <row r="21" spans="2:6" ht="18" x14ac:dyDescent="0.25">
      <c r="B21" s="131" t="s">
        <v>415</v>
      </c>
      <c r="D21" s="24">
        <v>14056</v>
      </c>
      <c r="F21">
        <f t="shared" si="0"/>
        <v>26226.600000000006</v>
      </c>
    </row>
    <row r="22" spans="2:6" ht="18" x14ac:dyDescent="0.25">
      <c r="B22" s="131" t="s">
        <v>434</v>
      </c>
      <c r="C22">
        <v>32001.9</v>
      </c>
      <c r="D22" s="24"/>
      <c r="F22">
        <f t="shared" si="0"/>
        <v>12170.600000000006</v>
      </c>
    </row>
    <row r="23" spans="2:6" ht="18" x14ac:dyDescent="0.25">
      <c r="B23" s="131" t="s">
        <v>433</v>
      </c>
      <c r="D23" s="24">
        <v>11702</v>
      </c>
      <c r="F23">
        <f t="shared" si="0"/>
        <v>44172.500000000007</v>
      </c>
    </row>
    <row r="24" spans="2:6" ht="18" x14ac:dyDescent="0.25">
      <c r="B24" s="131" t="s">
        <v>436</v>
      </c>
      <c r="D24" s="24"/>
      <c r="E24">
        <v>469.4</v>
      </c>
      <c r="F24">
        <f t="shared" si="0"/>
        <v>32470.500000000007</v>
      </c>
    </row>
    <row r="25" spans="2:6" ht="18" x14ac:dyDescent="0.25">
      <c r="B25" s="131" t="s">
        <v>442</v>
      </c>
      <c r="D25" s="24">
        <v>12489</v>
      </c>
      <c r="F25">
        <f t="shared" si="0"/>
        <v>32001.100000000006</v>
      </c>
    </row>
    <row r="26" spans="2:6" ht="18" x14ac:dyDescent="0.25">
      <c r="B26" s="131" t="s">
        <v>444</v>
      </c>
      <c r="C26">
        <v>32001.8</v>
      </c>
      <c r="D26" s="24"/>
      <c r="F26">
        <f t="shared" si="0"/>
        <v>19512.100000000006</v>
      </c>
    </row>
    <row r="27" spans="2:6" ht="18" x14ac:dyDescent="0.25">
      <c r="B27" s="131" t="s">
        <v>443</v>
      </c>
      <c r="D27" s="24">
        <v>11460</v>
      </c>
      <c r="F27">
        <f t="shared" si="0"/>
        <v>51513.900000000009</v>
      </c>
    </row>
    <row r="28" spans="2:6" ht="18" x14ac:dyDescent="0.25">
      <c r="B28" s="131" t="s">
        <v>458</v>
      </c>
      <c r="D28" s="24">
        <v>11534</v>
      </c>
      <c r="F28">
        <f t="shared" si="0"/>
        <v>40053.900000000009</v>
      </c>
    </row>
    <row r="29" spans="2:6" ht="18" x14ac:dyDescent="0.25">
      <c r="B29" s="131" t="s">
        <v>460</v>
      </c>
      <c r="D29" s="24">
        <v>12346</v>
      </c>
      <c r="F29">
        <f t="shared" si="0"/>
        <v>28519.900000000009</v>
      </c>
    </row>
    <row r="30" spans="2:6" ht="18" x14ac:dyDescent="0.25">
      <c r="B30" s="131" t="s">
        <v>465</v>
      </c>
      <c r="C30">
        <v>32002.5</v>
      </c>
      <c r="D30" s="24"/>
      <c r="F30">
        <f t="shared" si="0"/>
        <v>16173.900000000009</v>
      </c>
    </row>
    <row r="31" spans="2:6" ht="18" x14ac:dyDescent="0.25">
      <c r="B31" s="248" t="s">
        <v>464</v>
      </c>
      <c r="C31" s="184"/>
      <c r="D31" s="272">
        <v>12402</v>
      </c>
      <c r="E31" s="184"/>
      <c r="F31">
        <f t="shared" si="0"/>
        <v>48176.400000000009</v>
      </c>
    </row>
    <row r="32" spans="2:6" ht="18" x14ac:dyDescent="0.25">
      <c r="B32" s="131" t="s">
        <v>475</v>
      </c>
      <c r="D32" s="24">
        <v>13287</v>
      </c>
      <c r="F32">
        <f t="shared" si="0"/>
        <v>35774.400000000009</v>
      </c>
    </row>
    <row r="33" spans="2:6" ht="18" x14ac:dyDescent="0.25">
      <c r="B33" s="131" t="s">
        <v>487</v>
      </c>
      <c r="C33">
        <v>32000.9</v>
      </c>
      <c r="D33" s="24"/>
      <c r="F33">
        <f t="shared" si="0"/>
        <v>22487.400000000009</v>
      </c>
    </row>
    <row r="34" spans="2:6" ht="18" x14ac:dyDescent="0.25">
      <c r="B34" s="131" t="s">
        <v>486</v>
      </c>
      <c r="D34" s="24">
        <v>12094</v>
      </c>
      <c r="F34">
        <f t="shared" si="0"/>
        <v>54488.30000000001</v>
      </c>
    </row>
    <row r="35" spans="2:6" ht="18" x14ac:dyDescent="0.25">
      <c r="B35" s="131" t="s">
        <v>490</v>
      </c>
      <c r="D35" s="24">
        <v>14966</v>
      </c>
      <c r="F35">
        <f t="shared" si="0"/>
        <v>42394.30000000001</v>
      </c>
    </row>
    <row r="36" spans="2:6" ht="18" x14ac:dyDescent="0.25">
      <c r="B36" s="131" t="s">
        <v>495</v>
      </c>
      <c r="D36" s="24">
        <v>9776</v>
      </c>
      <c r="F36">
        <f t="shared" si="0"/>
        <v>27428.30000000001</v>
      </c>
    </row>
    <row r="37" spans="2:6" ht="18" x14ac:dyDescent="0.25">
      <c r="B37" s="131" t="s">
        <v>503</v>
      </c>
      <c r="C37">
        <v>32033.1</v>
      </c>
      <c r="D37" s="24"/>
      <c r="F37">
        <f t="shared" si="0"/>
        <v>17652.30000000001</v>
      </c>
    </row>
    <row r="38" spans="2:6" ht="18" x14ac:dyDescent="0.25">
      <c r="B38" s="131" t="s">
        <v>502</v>
      </c>
      <c r="D38" s="24">
        <v>11550</v>
      </c>
      <c r="F38">
        <f t="shared" si="0"/>
        <v>49685.400000000009</v>
      </c>
    </row>
    <row r="39" spans="2:6" ht="18" x14ac:dyDescent="0.25">
      <c r="B39" s="131" t="s">
        <v>505</v>
      </c>
      <c r="D39" s="24">
        <v>11625</v>
      </c>
      <c r="F39">
        <f t="shared" si="0"/>
        <v>38135.400000000009</v>
      </c>
    </row>
    <row r="40" spans="2:6" ht="18" x14ac:dyDescent="0.25">
      <c r="B40" s="248"/>
      <c r="C40" s="184"/>
      <c r="D40" s="272"/>
      <c r="E40" s="184"/>
      <c r="F40">
        <f t="shared" si="0"/>
        <v>26510.400000000009</v>
      </c>
    </row>
    <row r="41" spans="2:6" ht="18" x14ac:dyDescent="0.25">
      <c r="B41" s="131"/>
      <c r="D41" s="24"/>
      <c r="F41">
        <f t="shared" si="0"/>
        <v>26510.400000000009</v>
      </c>
    </row>
    <row r="42" spans="2:6" ht="18" x14ac:dyDescent="0.25">
      <c r="B42" s="131"/>
      <c r="D42" s="24"/>
    </row>
    <row r="43" spans="2:6" ht="18" x14ac:dyDescent="0.25">
      <c r="B43" s="131"/>
      <c r="D43" s="24"/>
    </row>
    <row r="44" spans="2:6" ht="18" x14ac:dyDescent="0.25">
      <c r="B44" s="131"/>
      <c r="D44" s="24"/>
    </row>
    <row r="45" spans="2:6" ht="18" x14ac:dyDescent="0.25">
      <c r="B45" s="131"/>
      <c r="D45" s="24"/>
    </row>
    <row r="46" spans="2:6" ht="18" x14ac:dyDescent="0.25">
      <c r="B46" s="131"/>
      <c r="D46" s="24"/>
    </row>
    <row r="47" spans="2:6" ht="18" x14ac:dyDescent="0.25">
      <c r="B47" s="131"/>
      <c r="D47" s="24"/>
    </row>
    <row r="48" spans="2:6" ht="18" x14ac:dyDescent="0.25">
      <c r="B48" s="248"/>
      <c r="C48" s="184"/>
      <c r="D48" s="272"/>
      <c r="E48" s="184"/>
      <c r="F48" s="184"/>
    </row>
    <row r="49" spans="2:4" ht="18" x14ac:dyDescent="0.25">
      <c r="B49" s="131"/>
    </row>
    <row r="50" spans="2:4" ht="18" x14ac:dyDescent="0.25">
      <c r="B50" s="131"/>
      <c r="D50" s="24"/>
    </row>
    <row r="51" spans="2:4" ht="18" x14ac:dyDescent="0.25">
      <c r="B51" s="131"/>
      <c r="D51" s="24"/>
    </row>
    <row r="52" spans="2:4" ht="18" x14ac:dyDescent="0.25">
      <c r="B52" s="131"/>
    </row>
    <row r="53" spans="2:4" ht="18" x14ac:dyDescent="0.25">
      <c r="B53" s="131"/>
    </row>
    <row r="54" spans="2:4" ht="18" x14ac:dyDescent="0.25">
      <c r="B54" s="131"/>
    </row>
    <row r="55" spans="2:4" ht="18" x14ac:dyDescent="0.25">
      <c r="B55" s="131"/>
      <c r="D55" s="24"/>
    </row>
    <row r="124" spans="1:1" x14ac:dyDescent="0.2">
      <c r="A124">
        <v>115</v>
      </c>
    </row>
    <row r="125" spans="1:1" x14ac:dyDescent="0.2">
      <c r="A125">
        <v>116</v>
      </c>
    </row>
    <row r="126" spans="1:1" x14ac:dyDescent="0.2">
      <c r="A126">
        <v>117</v>
      </c>
    </row>
    <row r="127" spans="1:1" x14ac:dyDescent="0.2">
      <c r="A127">
        <v>118</v>
      </c>
    </row>
    <row r="128" spans="1:1" x14ac:dyDescent="0.2">
      <c r="A128">
        <v>119</v>
      </c>
    </row>
    <row r="129" spans="1:1" x14ac:dyDescent="0.2">
      <c r="A129">
        <v>120</v>
      </c>
    </row>
    <row r="130" spans="1:1" x14ac:dyDescent="0.2">
      <c r="A130">
        <v>121</v>
      </c>
    </row>
    <row r="131" spans="1:1" x14ac:dyDescent="0.2">
      <c r="A131">
        <v>122</v>
      </c>
    </row>
  </sheetData>
  <mergeCells count="3">
    <mergeCell ref="B2:D2"/>
    <mergeCell ref="B3:D3"/>
    <mergeCell ref="C7:D7"/>
  </mergeCells>
  <phoneticPr fontId="39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2B91-1D28-484F-A9E3-26AE4403A0E3}">
  <sheetPr>
    <tabColor theme="0"/>
  </sheetPr>
  <dimension ref="A1:F50"/>
  <sheetViews>
    <sheetView rightToLeft="1" workbookViewId="0">
      <selection activeCell="B36" sqref="B36"/>
    </sheetView>
  </sheetViews>
  <sheetFormatPr defaultRowHeight="14.25" x14ac:dyDescent="0.2"/>
  <cols>
    <col min="1" max="1" width="7.625" customWidth="1"/>
    <col min="2" max="2" width="21.625" customWidth="1"/>
    <col min="3" max="3" width="20.75" customWidth="1"/>
    <col min="4" max="4" width="11.375" customWidth="1"/>
    <col min="6" max="6" width="17.125" customWidth="1"/>
  </cols>
  <sheetData>
    <row r="1" spans="1:6" ht="15.75" x14ac:dyDescent="0.2">
      <c r="A1" s="132" t="s">
        <v>68</v>
      </c>
      <c r="B1" s="132"/>
      <c r="C1" s="132"/>
      <c r="D1" s="132"/>
    </row>
    <row r="2" spans="1:6" ht="15.75" x14ac:dyDescent="0.2">
      <c r="A2" s="79"/>
      <c r="B2" s="335" t="s">
        <v>11</v>
      </c>
      <c r="C2" s="335"/>
      <c r="D2" s="335"/>
    </row>
    <row r="3" spans="1:6" ht="15.75" x14ac:dyDescent="0.2">
      <c r="A3" s="79"/>
      <c r="B3" s="335" t="s">
        <v>12</v>
      </c>
      <c r="C3" s="335"/>
      <c r="D3" s="335"/>
    </row>
    <row r="8" spans="1:6" x14ac:dyDescent="0.2">
      <c r="B8" s="136"/>
      <c r="C8" s="136"/>
      <c r="D8" s="136"/>
      <c r="E8" s="136"/>
      <c r="F8" s="136"/>
    </row>
    <row r="9" spans="1:6" ht="15" x14ac:dyDescent="0.2">
      <c r="A9" t="s">
        <v>0</v>
      </c>
      <c r="B9" s="136"/>
      <c r="C9" s="239" t="s">
        <v>158</v>
      </c>
      <c r="D9" s="136"/>
      <c r="E9" s="136"/>
      <c r="F9" s="136"/>
    </row>
    <row r="10" spans="1:6" ht="15.75" x14ac:dyDescent="0.2">
      <c r="A10">
        <v>1</v>
      </c>
      <c r="B10" s="238" t="s">
        <v>65</v>
      </c>
      <c r="C10" s="238" t="s">
        <v>152</v>
      </c>
      <c r="D10" s="238" t="s">
        <v>151</v>
      </c>
      <c r="E10" s="238" t="s">
        <v>154</v>
      </c>
      <c r="F10" s="238" t="s">
        <v>120</v>
      </c>
    </row>
    <row r="11" spans="1:6" ht="15" x14ac:dyDescent="0.2">
      <c r="B11" s="240" t="s">
        <v>195</v>
      </c>
      <c r="C11" s="241"/>
      <c r="D11" s="241"/>
      <c r="E11" s="241"/>
      <c r="F11" s="241">
        <f>14857.8</f>
        <v>14857.8</v>
      </c>
    </row>
    <row r="12" spans="1:6" x14ac:dyDescent="0.2">
      <c r="B12" s="136" t="s">
        <v>374</v>
      </c>
      <c r="C12" s="136"/>
      <c r="D12" s="136">
        <v>3815</v>
      </c>
      <c r="E12" s="136"/>
      <c r="F12" s="136">
        <f>F11+C11-D11-E11</f>
        <v>14857.8</v>
      </c>
    </row>
    <row r="13" spans="1:6" x14ac:dyDescent="0.2">
      <c r="B13" s="233" t="s">
        <v>381</v>
      </c>
      <c r="C13" s="136">
        <v>32008.6</v>
      </c>
      <c r="D13" s="136"/>
      <c r="E13" s="136"/>
      <c r="F13" s="136">
        <f t="shared" ref="F13:F38" si="0">F12+C12-D12-E12</f>
        <v>11042.8</v>
      </c>
    </row>
    <row r="14" spans="1:6" x14ac:dyDescent="0.2">
      <c r="B14" s="233" t="s">
        <v>382</v>
      </c>
      <c r="C14" s="136"/>
      <c r="D14" s="136">
        <v>5680</v>
      </c>
      <c r="E14" s="136"/>
      <c r="F14" s="136">
        <f t="shared" si="0"/>
        <v>43051.399999999994</v>
      </c>
    </row>
    <row r="15" spans="1:6" x14ac:dyDescent="0.2">
      <c r="B15" s="233" t="s">
        <v>385</v>
      </c>
      <c r="C15" s="136"/>
      <c r="D15" s="136">
        <v>4670</v>
      </c>
      <c r="E15" s="136"/>
      <c r="F15" s="136">
        <f t="shared" si="0"/>
        <v>37371.399999999994</v>
      </c>
    </row>
    <row r="16" spans="1:6" x14ac:dyDescent="0.2">
      <c r="B16" s="233" t="s">
        <v>387</v>
      </c>
      <c r="C16" s="136"/>
      <c r="D16" s="136">
        <v>4670</v>
      </c>
      <c r="E16" s="136"/>
      <c r="F16" s="136">
        <f t="shared" si="0"/>
        <v>32701.399999999994</v>
      </c>
    </row>
    <row r="17" spans="2:6" x14ac:dyDescent="0.2">
      <c r="B17" s="233" t="s">
        <v>389</v>
      </c>
      <c r="D17" s="136">
        <v>1463</v>
      </c>
      <c r="E17" s="136"/>
      <c r="F17" s="136">
        <f t="shared" si="0"/>
        <v>28031.399999999994</v>
      </c>
    </row>
    <row r="18" spans="2:6" x14ac:dyDescent="0.2">
      <c r="B18" s="233" t="s">
        <v>395</v>
      </c>
      <c r="C18" s="136"/>
      <c r="D18" s="136">
        <v>5045</v>
      </c>
      <c r="E18" s="136"/>
      <c r="F18" s="136">
        <f t="shared" si="0"/>
        <v>26568.399999999994</v>
      </c>
    </row>
    <row r="19" spans="2:6" x14ac:dyDescent="0.2">
      <c r="B19" s="233" t="s">
        <v>401</v>
      </c>
      <c r="D19" s="136">
        <v>4189</v>
      </c>
      <c r="F19" s="136">
        <f t="shared" si="0"/>
        <v>21523.399999999994</v>
      </c>
    </row>
    <row r="20" spans="2:6" x14ac:dyDescent="0.2">
      <c r="B20" s="233" t="s">
        <v>414</v>
      </c>
      <c r="C20" s="24"/>
      <c r="D20" s="24">
        <v>3223</v>
      </c>
      <c r="E20" s="24"/>
      <c r="F20" s="136">
        <f t="shared" si="0"/>
        <v>17334.399999999994</v>
      </c>
    </row>
    <row r="21" spans="2:6" x14ac:dyDescent="0.2">
      <c r="B21" s="233" t="s">
        <v>415</v>
      </c>
      <c r="C21" s="24"/>
      <c r="D21" s="24">
        <v>6881</v>
      </c>
      <c r="E21" s="24"/>
      <c r="F21" s="136">
        <f t="shared" si="0"/>
        <v>14111.399999999994</v>
      </c>
    </row>
    <row r="22" spans="2:6" x14ac:dyDescent="0.2">
      <c r="B22" s="233" t="s">
        <v>435</v>
      </c>
      <c r="C22" s="24">
        <v>32017.200000000001</v>
      </c>
      <c r="D22" s="24"/>
      <c r="E22" s="24"/>
      <c r="F22" s="136">
        <f t="shared" si="0"/>
        <v>7230.3999999999942</v>
      </c>
    </row>
    <row r="23" spans="2:6" x14ac:dyDescent="0.2">
      <c r="B23" s="24" t="s">
        <v>433</v>
      </c>
      <c r="C23" s="24"/>
      <c r="D23" s="24">
        <v>5344</v>
      </c>
      <c r="E23" s="24"/>
      <c r="F23" s="136">
        <f t="shared" si="0"/>
        <v>39247.599999999991</v>
      </c>
    </row>
    <row r="24" spans="2:6" x14ac:dyDescent="0.2">
      <c r="B24" s="233" t="s">
        <v>442</v>
      </c>
      <c r="D24" s="24">
        <v>5015</v>
      </c>
      <c r="F24" s="136">
        <f t="shared" si="0"/>
        <v>33903.599999999991</v>
      </c>
    </row>
    <row r="25" spans="2:6" x14ac:dyDescent="0.2">
      <c r="B25" s="233" t="s">
        <v>443</v>
      </c>
      <c r="D25" s="24">
        <v>1508</v>
      </c>
      <c r="F25" s="136">
        <f t="shared" si="0"/>
        <v>28888.599999999991</v>
      </c>
    </row>
    <row r="26" spans="2:6" x14ac:dyDescent="0.2">
      <c r="B26" s="233" t="s">
        <v>458</v>
      </c>
      <c r="D26" s="24">
        <v>6738</v>
      </c>
      <c r="F26" s="136">
        <f t="shared" si="0"/>
        <v>27380.599999999991</v>
      </c>
    </row>
    <row r="27" spans="2:6" x14ac:dyDescent="0.2">
      <c r="B27" s="233" t="s">
        <v>460</v>
      </c>
      <c r="D27" s="24">
        <v>6043</v>
      </c>
      <c r="F27" s="136">
        <f t="shared" si="0"/>
        <v>20642.599999999991</v>
      </c>
    </row>
    <row r="28" spans="2:6" x14ac:dyDescent="0.2">
      <c r="B28" s="233" t="s">
        <v>464</v>
      </c>
      <c r="D28" s="24">
        <v>4711</v>
      </c>
      <c r="F28" s="136">
        <f t="shared" si="0"/>
        <v>14599.599999999991</v>
      </c>
    </row>
    <row r="29" spans="2:6" x14ac:dyDescent="0.2">
      <c r="B29" s="233" t="s">
        <v>476</v>
      </c>
      <c r="C29">
        <v>32019.4</v>
      </c>
      <c r="D29" s="24"/>
      <c r="F29" s="136">
        <f t="shared" si="0"/>
        <v>9888.5999999999913</v>
      </c>
    </row>
    <row r="30" spans="2:6" x14ac:dyDescent="0.2">
      <c r="B30" s="24" t="s">
        <v>475</v>
      </c>
      <c r="C30" s="24"/>
      <c r="D30" s="24">
        <v>8627</v>
      </c>
      <c r="E30" s="24"/>
      <c r="F30" s="136">
        <f t="shared" si="0"/>
        <v>41907.999999999993</v>
      </c>
    </row>
    <row r="31" spans="2:6" x14ac:dyDescent="0.2">
      <c r="B31" s="24" t="s">
        <v>486</v>
      </c>
      <c r="C31" s="24"/>
      <c r="D31" s="24">
        <v>4770</v>
      </c>
      <c r="E31" s="24"/>
      <c r="F31" s="136">
        <f t="shared" si="0"/>
        <v>33280.999999999993</v>
      </c>
    </row>
    <row r="32" spans="2:6" x14ac:dyDescent="0.2">
      <c r="B32" s="24" t="s">
        <v>490</v>
      </c>
      <c r="C32" s="24"/>
      <c r="D32" s="24">
        <v>5617</v>
      </c>
      <c r="E32" s="24"/>
      <c r="F32" s="136">
        <f t="shared" si="0"/>
        <v>28510.999999999993</v>
      </c>
    </row>
    <row r="33" spans="2:6" x14ac:dyDescent="0.2">
      <c r="B33" s="233" t="s">
        <v>495</v>
      </c>
      <c r="D33" s="24">
        <v>1950</v>
      </c>
      <c r="F33" s="136">
        <f t="shared" si="0"/>
        <v>22893.999999999993</v>
      </c>
    </row>
    <row r="34" spans="2:6" x14ac:dyDescent="0.2">
      <c r="B34" s="233" t="s">
        <v>502</v>
      </c>
      <c r="D34" s="24">
        <v>7448</v>
      </c>
      <c r="F34" s="136">
        <f t="shared" si="0"/>
        <v>20943.999999999993</v>
      </c>
    </row>
    <row r="35" spans="2:6" x14ac:dyDescent="0.2">
      <c r="B35" s="233" t="s">
        <v>505</v>
      </c>
      <c r="D35" s="24">
        <v>3625</v>
      </c>
      <c r="F35" s="136">
        <f t="shared" si="0"/>
        <v>13495.999999999993</v>
      </c>
    </row>
    <row r="36" spans="2:6" x14ac:dyDescent="0.2">
      <c r="B36" s="233"/>
      <c r="D36" s="24"/>
      <c r="F36" s="136">
        <f t="shared" si="0"/>
        <v>9870.9999999999927</v>
      </c>
    </row>
    <row r="37" spans="2:6" x14ac:dyDescent="0.2">
      <c r="B37" s="233"/>
      <c r="D37" s="24"/>
      <c r="F37" s="136">
        <f t="shared" si="0"/>
        <v>9870.9999999999927</v>
      </c>
    </row>
    <row r="38" spans="2:6" x14ac:dyDescent="0.2">
      <c r="B38" s="233"/>
      <c r="D38" s="24"/>
      <c r="F38" s="136">
        <f t="shared" si="0"/>
        <v>9870.9999999999927</v>
      </c>
    </row>
    <row r="39" spans="2:6" x14ac:dyDescent="0.2">
      <c r="B39" s="233"/>
      <c r="D39" s="24"/>
      <c r="F39" s="24"/>
    </row>
    <row r="40" spans="2:6" x14ac:dyDescent="0.2">
      <c r="B40" s="233"/>
      <c r="D40" s="24"/>
      <c r="F40" s="24"/>
    </row>
    <row r="41" spans="2:6" x14ac:dyDescent="0.2">
      <c r="B41" s="233"/>
      <c r="D41" s="24"/>
      <c r="F41" s="24"/>
    </row>
    <row r="42" spans="2:6" x14ac:dyDescent="0.2">
      <c r="B42" s="233"/>
      <c r="D42" s="24"/>
      <c r="F42" s="24"/>
    </row>
    <row r="43" spans="2:6" x14ac:dyDescent="0.2">
      <c r="B43" s="233"/>
      <c r="F43" s="24"/>
    </row>
    <row r="44" spans="2:6" x14ac:dyDescent="0.2">
      <c r="B44" s="233"/>
      <c r="D44" s="24"/>
      <c r="F44" s="24"/>
    </row>
    <row r="45" spans="2:6" x14ac:dyDescent="0.2">
      <c r="B45" s="233"/>
      <c r="D45" s="24"/>
      <c r="F45" s="24"/>
    </row>
    <row r="46" spans="2:6" x14ac:dyDescent="0.2">
      <c r="B46" s="233"/>
      <c r="D46" s="24"/>
      <c r="F46" s="24"/>
    </row>
    <row r="47" spans="2:6" x14ac:dyDescent="0.2">
      <c r="B47" s="233"/>
      <c r="D47" s="24"/>
      <c r="F47" s="24"/>
    </row>
    <row r="48" spans="2:6" x14ac:dyDescent="0.2">
      <c r="B48" s="233"/>
      <c r="D48" s="24"/>
      <c r="F48" s="24"/>
    </row>
    <row r="49" spans="6:6" x14ac:dyDescent="0.2">
      <c r="F49" s="24"/>
    </row>
    <row r="50" spans="6:6" x14ac:dyDescent="0.2">
      <c r="F50" s="24"/>
    </row>
  </sheetData>
  <mergeCells count="2">
    <mergeCell ref="B2:D2"/>
    <mergeCell ref="B3:D3"/>
  </mergeCells>
  <phoneticPr fontId="39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8BCF-C948-4BEE-A257-AA006BBDC80E}">
  <sheetPr>
    <tabColor theme="9"/>
  </sheetPr>
  <dimension ref="A2:K45"/>
  <sheetViews>
    <sheetView rightToLeft="1" topLeftCell="A34" workbookViewId="0">
      <selection activeCell="F14" sqref="F14"/>
    </sheetView>
  </sheetViews>
  <sheetFormatPr defaultRowHeight="14.25" x14ac:dyDescent="0.2"/>
  <cols>
    <col min="1" max="1" width="7.625" customWidth="1"/>
    <col min="2" max="7" width="15.625" customWidth="1"/>
  </cols>
  <sheetData>
    <row r="2" spans="1:7" x14ac:dyDescent="0.2">
      <c r="A2" s="364">
        <v>91</v>
      </c>
      <c r="B2" s="364"/>
    </row>
    <row r="3" spans="1:7" x14ac:dyDescent="0.2">
      <c r="A3" s="364"/>
      <c r="B3" s="364"/>
    </row>
    <row r="4" spans="1:7" x14ac:dyDescent="0.2">
      <c r="A4" s="364"/>
      <c r="B4" s="364"/>
    </row>
    <row r="5" spans="1:7" x14ac:dyDescent="0.2">
      <c r="A5" s="364"/>
      <c r="B5" s="364"/>
    </row>
    <row r="6" spans="1:7" x14ac:dyDescent="0.2">
      <c r="A6" s="364"/>
      <c r="B6" s="364"/>
    </row>
    <row r="8" spans="1:7" ht="15" thickBot="1" x14ac:dyDescent="0.25"/>
    <row r="9" spans="1:7" ht="91.5" thickBot="1" x14ac:dyDescent="0.25">
      <c r="A9" s="1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3" t="s">
        <v>6</v>
      </c>
    </row>
    <row r="10" spans="1:7" ht="25.5" customHeight="1" x14ac:dyDescent="0.2">
      <c r="A10" s="4">
        <v>1</v>
      </c>
      <c r="B10" s="84">
        <v>45048</v>
      </c>
      <c r="C10" s="85">
        <v>95</v>
      </c>
      <c r="D10" s="85">
        <v>91</v>
      </c>
      <c r="E10" s="85"/>
      <c r="F10" s="85">
        <v>32006.9</v>
      </c>
      <c r="G10" s="86">
        <v>1</v>
      </c>
    </row>
    <row r="11" spans="1:7" ht="24" customHeight="1" x14ac:dyDescent="0.2">
      <c r="A11" s="4">
        <v>2</v>
      </c>
      <c r="B11" s="84">
        <v>45049</v>
      </c>
      <c r="C11" s="232">
        <v>96</v>
      </c>
      <c r="D11" s="193">
        <v>91</v>
      </c>
      <c r="E11" s="167"/>
      <c r="F11" s="167">
        <v>32011.5</v>
      </c>
      <c r="G11" s="86">
        <v>1</v>
      </c>
    </row>
    <row r="12" spans="1:7" ht="19.5" customHeight="1" x14ac:dyDescent="0.2">
      <c r="A12" s="4">
        <v>3</v>
      </c>
      <c r="B12" s="84">
        <v>45050</v>
      </c>
      <c r="C12" s="67">
        <v>97</v>
      </c>
      <c r="D12" s="67">
        <v>91</v>
      </c>
      <c r="E12" s="67"/>
      <c r="F12" s="49">
        <v>32000.2</v>
      </c>
      <c r="G12" s="264">
        <v>1</v>
      </c>
    </row>
    <row r="13" spans="1:7" ht="18" x14ac:dyDescent="0.2">
      <c r="A13" s="4">
        <v>4</v>
      </c>
      <c r="B13" s="84">
        <v>45051</v>
      </c>
      <c r="C13" s="78">
        <v>98</v>
      </c>
      <c r="D13" s="85">
        <v>91</v>
      </c>
      <c r="E13" s="167"/>
      <c r="F13" s="78">
        <v>32047.3</v>
      </c>
      <c r="G13" s="263">
        <v>1</v>
      </c>
    </row>
    <row r="14" spans="1:7" ht="18" x14ac:dyDescent="0.2">
      <c r="A14" s="4">
        <v>5</v>
      </c>
      <c r="B14" s="84">
        <v>45053</v>
      </c>
      <c r="C14" s="88">
        <v>99</v>
      </c>
      <c r="D14" s="85">
        <v>91</v>
      </c>
      <c r="E14" s="88"/>
      <c r="F14" s="88">
        <v>32000.9</v>
      </c>
      <c r="G14" s="87">
        <v>1</v>
      </c>
    </row>
    <row r="15" spans="1:7" ht="18" x14ac:dyDescent="0.2">
      <c r="A15" s="4">
        <v>6</v>
      </c>
      <c r="B15" s="84">
        <v>45054</v>
      </c>
      <c r="C15" s="78">
        <v>100</v>
      </c>
      <c r="D15" s="78">
        <v>91</v>
      </c>
      <c r="E15" s="78"/>
      <c r="F15" s="78">
        <v>32001</v>
      </c>
      <c r="G15" s="89">
        <v>1</v>
      </c>
    </row>
    <row r="16" spans="1:7" ht="18" x14ac:dyDescent="0.2">
      <c r="A16" s="4">
        <v>7</v>
      </c>
      <c r="B16" s="84">
        <v>45055</v>
      </c>
      <c r="C16" s="78">
        <v>101</v>
      </c>
      <c r="D16" s="78">
        <v>91</v>
      </c>
      <c r="E16" s="78"/>
      <c r="F16" s="78">
        <v>32011.599999999999</v>
      </c>
      <c r="G16" s="87">
        <v>1</v>
      </c>
    </row>
    <row r="17" spans="1:11" ht="18" x14ac:dyDescent="0.2">
      <c r="A17" s="4">
        <v>8</v>
      </c>
      <c r="B17" s="84">
        <v>45056</v>
      </c>
      <c r="C17" s="78">
        <v>102</v>
      </c>
      <c r="D17" s="78">
        <v>91</v>
      </c>
      <c r="E17" s="78"/>
      <c r="F17" s="78">
        <v>32000.9</v>
      </c>
      <c r="G17" s="87">
        <v>1</v>
      </c>
    </row>
    <row r="18" spans="1:11" ht="18" x14ac:dyDescent="0.2">
      <c r="A18" s="4">
        <v>9</v>
      </c>
      <c r="B18" s="84">
        <v>45057</v>
      </c>
      <c r="C18" s="88">
        <v>103</v>
      </c>
      <c r="D18" s="88">
        <v>91</v>
      </c>
      <c r="E18" s="88"/>
      <c r="F18" s="88">
        <v>32000.6</v>
      </c>
      <c r="G18" s="88">
        <v>1</v>
      </c>
    </row>
    <row r="19" spans="1:11" ht="18" x14ac:dyDescent="0.2">
      <c r="A19" s="4">
        <v>10</v>
      </c>
      <c r="B19" s="84">
        <v>45058</v>
      </c>
      <c r="C19" s="78">
        <v>104</v>
      </c>
      <c r="D19" s="78">
        <v>91</v>
      </c>
      <c r="E19" s="78"/>
      <c r="F19" s="78">
        <v>32046.9</v>
      </c>
      <c r="G19" s="87">
        <v>1</v>
      </c>
    </row>
    <row r="20" spans="1:11" ht="18" x14ac:dyDescent="0.2">
      <c r="A20" s="4">
        <v>11</v>
      </c>
      <c r="B20" s="84">
        <v>45060</v>
      </c>
      <c r="C20" s="185">
        <v>105</v>
      </c>
      <c r="D20" s="88">
        <v>91</v>
      </c>
      <c r="E20" s="88"/>
      <c r="F20" s="88">
        <v>32022.9</v>
      </c>
      <c r="G20" s="88">
        <v>1</v>
      </c>
    </row>
    <row r="21" spans="1:11" ht="18" x14ac:dyDescent="0.2">
      <c r="A21" s="4">
        <v>12</v>
      </c>
      <c r="B21" s="84">
        <v>45061</v>
      </c>
      <c r="C21" s="92">
        <v>106</v>
      </c>
      <c r="D21" s="78">
        <v>91</v>
      </c>
      <c r="E21" s="92"/>
      <c r="F21" s="92">
        <v>32020.5</v>
      </c>
      <c r="G21" s="87">
        <v>1</v>
      </c>
      <c r="J21" s="230"/>
    </row>
    <row r="22" spans="1:11" ht="18" x14ac:dyDescent="0.2">
      <c r="A22" s="4">
        <v>13</v>
      </c>
      <c r="B22" s="84">
        <v>45062</v>
      </c>
      <c r="C22" s="88">
        <v>107</v>
      </c>
      <c r="D22" s="88">
        <v>91</v>
      </c>
      <c r="E22" s="88"/>
      <c r="F22" s="88">
        <v>32028.799999999999</v>
      </c>
      <c r="G22" s="88">
        <v>1</v>
      </c>
      <c r="K22">
        <f>SUM(E13:E24)</f>
        <v>0</v>
      </c>
    </row>
    <row r="23" spans="1:11" ht="18" x14ac:dyDescent="0.2">
      <c r="A23" s="4">
        <v>14</v>
      </c>
      <c r="B23" s="84">
        <v>45063</v>
      </c>
      <c r="C23" s="78">
        <v>108</v>
      </c>
      <c r="D23" s="78">
        <v>91</v>
      </c>
      <c r="E23" s="78"/>
      <c r="F23" s="78">
        <v>32013</v>
      </c>
      <c r="G23" s="87">
        <v>1</v>
      </c>
    </row>
    <row r="24" spans="1:11" ht="18" x14ac:dyDescent="0.2">
      <c r="A24" s="4">
        <v>15</v>
      </c>
      <c r="B24" s="84">
        <v>45065</v>
      </c>
      <c r="C24" s="88">
        <v>109</v>
      </c>
      <c r="D24" s="88">
        <v>91</v>
      </c>
      <c r="E24" s="88"/>
      <c r="F24" s="88">
        <v>32004.1</v>
      </c>
      <c r="G24" s="88">
        <v>1</v>
      </c>
    </row>
    <row r="25" spans="1:11" ht="18" x14ac:dyDescent="0.2">
      <c r="A25" s="4">
        <v>16</v>
      </c>
      <c r="B25" s="84">
        <v>45066</v>
      </c>
      <c r="C25" s="78">
        <v>110</v>
      </c>
      <c r="D25" s="78">
        <v>91</v>
      </c>
      <c r="E25" s="78"/>
      <c r="F25" s="78">
        <v>32059.200000000001</v>
      </c>
      <c r="G25" s="87">
        <v>1</v>
      </c>
    </row>
    <row r="26" spans="1:11" ht="18" x14ac:dyDescent="0.2">
      <c r="A26" s="4">
        <v>17</v>
      </c>
      <c r="B26" s="84">
        <v>45067</v>
      </c>
      <c r="C26" s="78">
        <v>111</v>
      </c>
      <c r="D26" s="88">
        <v>91</v>
      </c>
      <c r="E26" s="88"/>
      <c r="F26" s="89">
        <v>32020.9</v>
      </c>
      <c r="G26" s="88">
        <v>1</v>
      </c>
    </row>
    <row r="27" spans="1:11" ht="18" x14ac:dyDescent="0.2">
      <c r="A27" s="4">
        <v>18</v>
      </c>
      <c r="B27" s="84">
        <v>45068</v>
      </c>
      <c r="C27" s="78">
        <v>112</v>
      </c>
      <c r="D27" s="78">
        <v>91</v>
      </c>
      <c r="E27" s="78"/>
      <c r="F27" s="78">
        <v>32051.8</v>
      </c>
      <c r="G27" s="87">
        <v>1</v>
      </c>
    </row>
    <row r="28" spans="1:11" ht="18" x14ac:dyDescent="0.2">
      <c r="A28" s="4">
        <v>19</v>
      </c>
      <c r="B28" s="84"/>
      <c r="C28" s="78"/>
      <c r="D28" s="88"/>
      <c r="E28" s="88"/>
      <c r="F28" s="88"/>
      <c r="G28" s="88"/>
    </row>
    <row r="29" spans="1:11" ht="18" x14ac:dyDescent="0.2">
      <c r="A29" s="4">
        <v>20</v>
      </c>
      <c r="B29" s="84"/>
      <c r="C29" s="88"/>
      <c r="D29" s="88"/>
      <c r="E29" s="88"/>
      <c r="F29" s="88"/>
      <c r="G29" s="88"/>
    </row>
    <row r="30" spans="1:11" ht="18" x14ac:dyDescent="0.2">
      <c r="A30" s="4">
        <v>21</v>
      </c>
      <c r="B30" s="84"/>
      <c r="C30" s="78"/>
      <c r="D30" s="78"/>
      <c r="E30" s="78"/>
      <c r="F30" s="78"/>
      <c r="G30" s="87"/>
    </row>
    <row r="31" spans="1:11" ht="18" x14ac:dyDescent="0.2">
      <c r="A31" s="4">
        <v>22</v>
      </c>
      <c r="B31" s="84"/>
      <c r="C31" s="88"/>
      <c r="D31" s="88"/>
      <c r="E31" s="88"/>
      <c r="F31" s="88"/>
      <c r="G31" s="89"/>
    </row>
    <row r="32" spans="1:11" ht="18" x14ac:dyDescent="0.2">
      <c r="A32" s="4">
        <v>24</v>
      </c>
      <c r="B32" s="84"/>
      <c r="C32" s="88"/>
      <c r="D32" s="88"/>
      <c r="E32" s="88"/>
      <c r="F32" s="88"/>
      <c r="G32" s="89"/>
    </row>
    <row r="33" spans="1:7" ht="18" x14ac:dyDescent="0.2">
      <c r="A33" s="4">
        <v>25</v>
      </c>
      <c r="B33" s="84"/>
      <c r="C33" s="78"/>
      <c r="D33" s="78"/>
      <c r="E33" s="78"/>
      <c r="F33" s="78"/>
      <c r="G33" s="78"/>
    </row>
    <row r="34" spans="1:7" ht="18" x14ac:dyDescent="0.2">
      <c r="A34" s="4">
        <v>26</v>
      </c>
      <c r="B34" s="84"/>
      <c r="C34" s="78"/>
      <c r="D34" s="88"/>
      <c r="E34" s="78"/>
      <c r="F34" s="78"/>
      <c r="G34" s="89"/>
    </row>
    <row r="35" spans="1:7" ht="18" x14ac:dyDescent="0.2">
      <c r="A35" s="4">
        <v>27</v>
      </c>
      <c r="B35" s="84"/>
      <c r="C35" s="78"/>
      <c r="D35" s="78"/>
      <c r="E35" s="78"/>
      <c r="F35" s="78"/>
      <c r="G35" s="87"/>
    </row>
    <row r="36" spans="1:7" ht="18" x14ac:dyDescent="0.2">
      <c r="A36" s="4">
        <v>28</v>
      </c>
      <c r="B36" s="84"/>
      <c r="C36" s="88"/>
      <c r="D36" s="88"/>
      <c r="E36" s="88"/>
      <c r="F36" s="88"/>
      <c r="G36" s="88"/>
    </row>
    <row r="37" spans="1:7" ht="18" x14ac:dyDescent="0.2">
      <c r="A37" s="4">
        <v>29</v>
      </c>
      <c r="B37" s="84"/>
      <c r="C37" s="78"/>
      <c r="D37" s="78"/>
      <c r="E37" s="78"/>
      <c r="F37" s="78"/>
      <c r="G37" s="87"/>
    </row>
    <row r="38" spans="1:7" ht="18" x14ac:dyDescent="0.2">
      <c r="A38" s="4">
        <v>30</v>
      </c>
      <c r="B38" s="84"/>
      <c r="C38" s="88"/>
      <c r="D38" s="88"/>
      <c r="E38" s="88"/>
      <c r="F38" s="88"/>
      <c r="G38" s="88"/>
    </row>
    <row r="39" spans="1:7" ht="18" x14ac:dyDescent="0.2">
      <c r="A39" s="4">
        <v>31</v>
      </c>
      <c r="B39" s="84"/>
      <c r="C39" s="78"/>
      <c r="D39" s="78"/>
      <c r="E39" s="78"/>
      <c r="F39" s="78"/>
      <c r="G39" s="87"/>
    </row>
    <row r="40" spans="1:7" ht="18" x14ac:dyDescent="0.2">
      <c r="A40" s="4">
        <v>32</v>
      </c>
      <c r="B40" s="84"/>
      <c r="C40" s="78"/>
      <c r="D40" s="78"/>
      <c r="E40" s="78"/>
      <c r="F40" s="78"/>
      <c r="G40" s="87"/>
    </row>
    <row r="41" spans="1:7" ht="18" x14ac:dyDescent="0.25">
      <c r="A41" s="14" t="s">
        <v>8</v>
      </c>
      <c r="B41" s="352" t="s">
        <v>9</v>
      </c>
      <c r="C41" s="353"/>
      <c r="D41" s="94">
        <v>91</v>
      </c>
      <c r="E41" s="352">
        <f>SUM(E10:E40)</f>
        <v>0</v>
      </c>
      <c r="F41" s="354"/>
      <c r="G41" s="95">
        <f>SUM(G10:G40)</f>
        <v>18</v>
      </c>
    </row>
    <row r="42" spans="1:7" x14ac:dyDescent="0.2">
      <c r="A42" s="355" t="s">
        <v>10</v>
      </c>
      <c r="B42" s="356"/>
      <c r="C42" s="356"/>
      <c r="D42" s="356"/>
      <c r="E42" s="356"/>
      <c r="F42" s="356"/>
      <c r="G42" s="357"/>
    </row>
    <row r="43" spans="1:7" x14ac:dyDescent="0.2">
      <c r="A43" s="358"/>
      <c r="B43" s="359"/>
      <c r="C43" s="359"/>
      <c r="D43" s="359"/>
      <c r="E43" s="359"/>
      <c r="F43" s="359"/>
      <c r="G43" s="360"/>
    </row>
    <row r="44" spans="1:7" x14ac:dyDescent="0.2">
      <c r="A44" s="358"/>
      <c r="B44" s="359"/>
      <c r="C44" s="359"/>
      <c r="D44" s="359"/>
      <c r="E44" s="359"/>
      <c r="F44" s="359"/>
      <c r="G44" s="360"/>
    </row>
    <row r="45" spans="1:7" ht="15" thickBot="1" x14ac:dyDescent="0.25">
      <c r="A45" s="361"/>
      <c r="B45" s="362"/>
      <c r="C45" s="362"/>
      <c r="D45" s="362"/>
      <c r="E45" s="362"/>
      <c r="F45" s="362"/>
      <c r="G45" s="363"/>
    </row>
  </sheetData>
  <mergeCells count="4">
    <mergeCell ref="B41:C41"/>
    <mergeCell ref="E41:F41"/>
    <mergeCell ref="A42:G45"/>
    <mergeCell ref="A2:B6"/>
  </mergeCells>
  <phoneticPr fontId="39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D4C5-A3BB-44DD-A133-0907950468FF}">
  <sheetPr>
    <tabColor rgb="FFFF0000"/>
  </sheetPr>
  <dimension ref="A2:K39"/>
  <sheetViews>
    <sheetView rightToLeft="1" topLeftCell="A34" workbookViewId="0">
      <selection activeCell="G18" sqref="G18"/>
    </sheetView>
  </sheetViews>
  <sheetFormatPr defaultRowHeight="14.25" x14ac:dyDescent="0.2"/>
  <cols>
    <col min="1" max="1" width="6.125" customWidth="1"/>
    <col min="2" max="2" width="16.125" customWidth="1"/>
    <col min="3" max="7" width="15.625" customWidth="1"/>
  </cols>
  <sheetData>
    <row r="2" spans="1:11" x14ac:dyDescent="0.2">
      <c r="A2" s="368">
        <v>95</v>
      </c>
      <c r="B2" s="368"/>
    </row>
    <row r="3" spans="1:11" x14ac:dyDescent="0.2">
      <c r="A3" s="368"/>
      <c r="B3" s="368"/>
    </row>
    <row r="4" spans="1:11" x14ac:dyDescent="0.2">
      <c r="A4" s="368"/>
      <c r="B4" s="368"/>
    </row>
    <row r="5" spans="1:11" x14ac:dyDescent="0.2">
      <c r="A5" s="368"/>
      <c r="B5" s="368"/>
    </row>
    <row r="6" spans="1:11" x14ac:dyDescent="0.2">
      <c r="A6" s="368"/>
      <c r="B6" s="368"/>
    </row>
    <row r="9" spans="1:11" ht="15" thickBot="1" x14ac:dyDescent="0.25"/>
    <row r="10" spans="1:11" ht="91.5" thickBot="1" x14ac:dyDescent="0.25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12" t="s">
        <v>6</v>
      </c>
    </row>
    <row r="11" spans="1:11" ht="18" x14ac:dyDescent="0.2">
      <c r="A11" s="4">
        <v>1</v>
      </c>
      <c r="B11" s="84">
        <v>45049</v>
      </c>
      <c r="C11" s="96">
        <v>47</v>
      </c>
      <c r="D11" s="96">
        <v>95</v>
      </c>
      <c r="E11" s="96">
        <v>32002.400000000001</v>
      </c>
      <c r="F11" s="96"/>
      <c r="G11" s="97">
        <v>1</v>
      </c>
    </row>
    <row r="12" spans="1:11" ht="18" x14ac:dyDescent="0.2">
      <c r="A12" s="4">
        <v>2</v>
      </c>
      <c r="B12" s="84">
        <v>45051</v>
      </c>
      <c r="C12" s="78">
        <v>48</v>
      </c>
      <c r="D12" s="96">
        <v>95</v>
      </c>
      <c r="E12" s="78">
        <v>32001</v>
      </c>
      <c r="F12" s="78"/>
      <c r="G12" s="98">
        <v>1</v>
      </c>
    </row>
    <row r="13" spans="1:11" ht="18" x14ac:dyDescent="0.2">
      <c r="A13" s="4">
        <v>3</v>
      </c>
      <c r="B13" s="84">
        <v>45054</v>
      </c>
      <c r="C13" s="88">
        <v>49</v>
      </c>
      <c r="D13" s="96">
        <v>95</v>
      </c>
      <c r="E13" s="88">
        <v>32001.8</v>
      </c>
      <c r="F13" s="88"/>
      <c r="G13" s="99">
        <v>1</v>
      </c>
      <c r="K13">
        <f>SUM(E11:E17)</f>
        <v>224012.3</v>
      </c>
    </row>
    <row r="14" spans="1:11" ht="18" x14ac:dyDescent="0.2">
      <c r="A14" s="4">
        <v>4</v>
      </c>
      <c r="B14" s="84">
        <v>45057</v>
      </c>
      <c r="C14" s="88">
        <v>50</v>
      </c>
      <c r="D14" s="96">
        <v>95</v>
      </c>
      <c r="E14" s="88">
        <v>32001.9</v>
      </c>
      <c r="F14" s="88"/>
      <c r="G14" s="99">
        <v>1</v>
      </c>
    </row>
    <row r="15" spans="1:11" ht="18" x14ac:dyDescent="0.2">
      <c r="A15" s="4">
        <v>5</v>
      </c>
      <c r="B15" s="84">
        <v>45058</v>
      </c>
      <c r="C15" s="78">
        <v>51</v>
      </c>
      <c r="D15" s="88">
        <v>95</v>
      </c>
      <c r="E15" s="78">
        <v>32001.8</v>
      </c>
      <c r="F15" s="78"/>
      <c r="G15" s="99">
        <v>1</v>
      </c>
    </row>
    <row r="16" spans="1:11" ht="18" x14ac:dyDescent="0.2">
      <c r="A16" s="4">
        <v>6</v>
      </c>
      <c r="B16" s="84">
        <v>45062</v>
      </c>
      <c r="C16" s="101">
        <v>52</v>
      </c>
      <c r="D16" s="88">
        <v>95</v>
      </c>
      <c r="E16" s="101">
        <v>32002.5</v>
      </c>
      <c r="F16" s="101"/>
      <c r="G16" s="99">
        <v>1</v>
      </c>
    </row>
    <row r="17" spans="1:7" ht="18" x14ac:dyDescent="0.2">
      <c r="A17" s="4">
        <v>7</v>
      </c>
      <c r="B17" s="84">
        <v>45064</v>
      </c>
      <c r="C17" s="78">
        <v>53</v>
      </c>
      <c r="D17" s="88">
        <v>95</v>
      </c>
      <c r="E17" s="78">
        <v>32000.9</v>
      </c>
      <c r="F17" s="78"/>
      <c r="G17" s="99">
        <v>1</v>
      </c>
    </row>
    <row r="18" spans="1:7" ht="18" x14ac:dyDescent="0.2">
      <c r="A18" s="4">
        <v>8</v>
      </c>
      <c r="B18" s="84">
        <v>45067</v>
      </c>
      <c r="C18" s="78">
        <v>54</v>
      </c>
      <c r="D18" s="88">
        <v>95</v>
      </c>
      <c r="E18" s="88">
        <v>32033</v>
      </c>
      <c r="F18" s="88"/>
      <c r="G18" s="89">
        <v>1</v>
      </c>
    </row>
    <row r="19" spans="1:7" ht="18" x14ac:dyDescent="0.2">
      <c r="A19" s="4">
        <v>9</v>
      </c>
      <c r="B19" s="84"/>
      <c r="C19" s="78"/>
      <c r="D19" s="78"/>
      <c r="E19" s="78"/>
      <c r="F19" s="78"/>
      <c r="G19" s="87"/>
    </row>
    <row r="20" spans="1:7" ht="18" x14ac:dyDescent="0.2">
      <c r="A20" s="4">
        <v>10</v>
      </c>
      <c r="B20" s="84"/>
      <c r="C20" s="88"/>
      <c r="D20" s="88"/>
      <c r="E20" s="88"/>
      <c r="F20" s="88"/>
      <c r="G20" s="89"/>
    </row>
    <row r="21" spans="1:7" ht="18" x14ac:dyDescent="0.2">
      <c r="A21" s="4">
        <v>11</v>
      </c>
      <c r="B21" s="84"/>
      <c r="C21" s="92"/>
      <c r="D21" s="92"/>
      <c r="E21" s="92"/>
      <c r="F21" s="92"/>
      <c r="G21" s="93"/>
    </row>
    <row r="22" spans="1:7" ht="18" x14ac:dyDescent="0.2">
      <c r="A22" s="4">
        <v>12</v>
      </c>
      <c r="B22" s="84"/>
      <c r="C22" s="88"/>
      <c r="D22" s="88"/>
      <c r="E22" s="88"/>
      <c r="F22" s="88"/>
      <c r="G22" s="89"/>
    </row>
    <row r="23" spans="1:7" ht="18" x14ac:dyDescent="0.2">
      <c r="A23" s="4">
        <v>13</v>
      </c>
      <c r="B23" s="84"/>
      <c r="C23" s="78"/>
      <c r="D23" s="78"/>
      <c r="E23" s="78"/>
      <c r="F23" s="78"/>
      <c r="G23" s="87"/>
    </row>
    <row r="24" spans="1:7" ht="18" x14ac:dyDescent="0.2">
      <c r="A24" s="4">
        <v>14</v>
      </c>
      <c r="B24" s="84"/>
      <c r="C24" s="88"/>
      <c r="D24" s="88"/>
      <c r="E24" s="88"/>
      <c r="F24" s="88"/>
      <c r="G24" s="89"/>
    </row>
    <row r="25" spans="1:7" ht="18" x14ac:dyDescent="0.2">
      <c r="A25" s="4">
        <v>15</v>
      </c>
      <c r="B25" s="84"/>
      <c r="C25" s="78"/>
      <c r="D25" s="78"/>
      <c r="E25" s="78"/>
      <c r="F25" s="78"/>
      <c r="G25" s="87"/>
    </row>
    <row r="26" spans="1:7" ht="18" x14ac:dyDescent="0.2">
      <c r="A26" s="4">
        <v>16</v>
      </c>
      <c r="B26" s="84"/>
      <c r="C26" s="88"/>
      <c r="D26" s="88"/>
      <c r="E26" s="88"/>
      <c r="F26" s="88"/>
      <c r="G26" s="89"/>
    </row>
    <row r="27" spans="1:7" ht="18" x14ac:dyDescent="0.2">
      <c r="A27" s="4">
        <v>17</v>
      </c>
      <c r="B27" s="84"/>
      <c r="C27" s="78"/>
      <c r="D27" s="78"/>
      <c r="E27" s="78"/>
      <c r="F27" s="78"/>
      <c r="G27" s="87"/>
    </row>
    <row r="28" spans="1:7" ht="18" x14ac:dyDescent="0.2">
      <c r="A28" s="4">
        <v>18</v>
      </c>
      <c r="B28" s="84"/>
      <c r="C28" s="88"/>
      <c r="D28" s="88"/>
      <c r="E28" s="88"/>
      <c r="F28" s="88"/>
      <c r="G28" s="89"/>
    </row>
    <row r="29" spans="1:7" ht="18" x14ac:dyDescent="0.2">
      <c r="A29" s="4">
        <v>19</v>
      </c>
      <c r="B29" s="84"/>
      <c r="C29" s="78"/>
      <c r="D29" s="78"/>
      <c r="E29" s="78"/>
      <c r="F29" s="78"/>
      <c r="G29" s="87"/>
    </row>
    <row r="30" spans="1:7" ht="18" x14ac:dyDescent="0.2">
      <c r="A30" s="4">
        <v>20</v>
      </c>
      <c r="B30" s="84"/>
      <c r="C30" s="88"/>
      <c r="D30" s="88"/>
      <c r="E30" s="88"/>
      <c r="F30" s="88"/>
      <c r="G30" s="89"/>
    </row>
    <row r="31" spans="1:7" ht="18" x14ac:dyDescent="0.2">
      <c r="A31" s="5">
        <v>22</v>
      </c>
      <c r="B31" s="84"/>
      <c r="C31" s="78"/>
      <c r="D31" s="78"/>
      <c r="E31" s="78"/>
      <c r="F31" s="78"/>
      <c r="G31" s="87"/>
    </row>
    <row r="32" spans="1:7" ht="18" x14ac:dyDescent="0.2">
      <c r="A32" s="7">
        <v>23</v>
      </c>
      <c r="B32" s="84"/>
      <c r="C32" s="88"/>
      <c r="D32" s="88"/>
      <c r="E32" s="88"/>
      <c r="F32" s="88"/>
      <c r="G32" s="89"/>
    </row>
    <row r="33" spans="1:7" ht="18" x14ac:dyDescent="0.2">
      <c r="A33" s="5">
        <v>24</v>
      </c>
      <c r="B33" s="84"/>
      <c r="C33" s="78"/>
      <c r="D33" s="78"/>
      <c r="E33" s="78"/>
      <c r="F33" s="78"/>
      <c r="G33" s="87"/>
    </row>
    <row r="34" spans="1:7" ht="18" x14ac:dyDescent="0.25">
      <c r="A34" s="11" t="s">
        <v>8</v>
      </c>
      <c r="B34" s="365" t="s">
        <v>9</v>
      </c>
      <c r="C34" s="366"/>
      <c r="D34" s="102">
        <v>95</v>
      </c>
      <c r="E34" s="365">
        <f>E11+E12+E13+E14+E15+E16+E17</f>
        <v>224012.3</v>
      </c>
      <c r="F34" s="367"/>
      <c r="G34" s="103">
        <f>SUM(G10:G33)</f>
        <v>8</v>
      </c>
    </row>
    <row r="35" spans="1:7" x14ac:dyDescent="0.2">
      <c r="A35" s="355" t="s">
        <v>10</v>
      </c>
      <c r="B35" s="356"/>
      <c r="C35" s="356"/>
      <c r="D35" s="356"/>
      <c r="E35" s="356"/>
      <c r="F35" s="356"/>
      <c r="G35" s="357"/>
    </row>
    <row r="36" spans="1:7" x14ac:dyDescent="0.2">
      <c r="A36" s="358"/>
      <c r="B36" s="359"/>
      <c r="C36" s="359"/>
      <c r="D36" s="359"/>
      <c r="E36" s="359"/>
      <c r="F36" s="359"/>
      <c r="G36" s="360"/>
    </row>
    <row r="37" spans="1:7" x14ac:dyDescent="0.2">
      <c r="A37" s="358"/>
      <c r="B37" s="359"/>
      <c r="C37" s="359"/>
      <c r="D37" s="359"/>
      <c r="E37" s="359"/>
      <c r="F37" s="359"/>
      <c r="G37" s="360"/>
    </row>
    <row r="38" spans="1:7" x14ac:dyDescent="0.2">
      <c r="A38" s="358"/>
      <c r="B38" s="359"/>
      <c r="C38" s="359"/>
      <c r="D38" s="359"/>
      <c r="E38" s="359"/>
      <c r="F38" s="359"/>
      <c r="G38" s="360"/>
    </row>
    <row r="39" spans="1:7" ht="18.75" thickBot="1" x14ac:dyDescent="0.25">
      <c r="A39" s="361"/>
      <c r="B39" s="362"/>
      <c r="C39" s="362"/>
      <c r="D39" s="362"/>
      <c r="E39" s="362"/>
      <c r="F39" s="362"/>
      <c r="G39" s="363"/>
    </row>
  </sheetData>
  <mergeCells count="5">
    <mergeCell ref="B34:C34"/>
    <mergeCell ref="E34:F34"/>
    <mergeCell ref="A35:G38"/>
    <mergeCell ref="A39:G39"/>
    <mergeCell ref="A2:B6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A9B5-1E90-44D7-8764-6A49101C11DF}">
  <sheetPr>
    <tabColor theme="0" tint="-0.499984740745262"/>
  </sheetPr>
  <dimension ref="A2:G40"/>
  <sheetViews>
    <sheetView rightToLeft="1" topLeftCell="A16" zoomScaleNormal="100" workbookViewId="0">
      <selection activeCell="B12" sqref="B12"/>
    </sheetView>
  </sheetViews>
  <sheetFormatPr defaultRowHeight="14.25" x14ac:dyDescent="0.2"/>
  <cols>
    <col min="1" max="1" width="6.625" customWidth="1"/>
    <col min="2" max="7" width="15.625" customWidth="1"/>
  </cols>
  <sheetData>
    <row r="2" spans="1:7" x14ac:dyDescent="0.2">
      <c r="A2" s="372" t="s">
        <v>143</v>
      </c>
      <c r="B2" s="372"/>
    </row>
    <row r="3" spans="1:7" x14ac:dyDescent="0.2">
      <c r="A3" s="372"/>
      <c r="B3" s="372"/>
    </row>
    <row r="4" spans="1:7" x14ac:dyDescent="0.2">
      <c r="A4" s="372"/>
      <c r="B4" s="372"/>
    </row>
    <row r="5" spans="1:7" x14ac:dyDescent="0.2">
      <c r="A5" s="372"/>
      <c r="B5" s="372"/>
    </row>
    <row r="6" spans="1:7" x14ac:dyDescent="0.2">
      <c r="A6" s="372"/>
      <c r="B6" s="372"/>
    </row>
    <row r="8" spans="1:7" ht="15" thickBot="1" x14ac:dyDescent="0.25"/>
    <row r="9" spans="1:7" ht="91.5" thickBot="1" x14ac:dyDescent="0.25">
      <c r="A9" s="1" t="s">
        <v>0</v>
      </c>
      <c r="B9" s="115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3" t="s">
        <v>6</v>
      </c>
    </row>
    <row r="10" spans="1:7" ht="18" x14ac:dyDescent="0.2">
      <c r="A10" s="4">
        <v>1</v>
      </c>
      <c r="B10" s="84">
        <v>45049</v>
      </c>
      <c r="C10" s="85">
        <v>18</v>
      </c>
      <c r="D10" s="85" t="s">
        <v>383</v>
      </c>
      <c r="E10" s="85"/>
      <c r="F10" s="85">
        <v>32008.6</v>
      </c>
      <c r="G10" s="86">
        <v>1</v>
      </c>
    </row>
    <row r="11" spans="1:7" ht="18" x14ac:dyDescent="0.2">
      <c r="A11" s="5">
        <v>2</v>
      </c>
      <c r="B11" s="90">
        <v>45057</v>
      </c>
      <c r="C11" s="78">
        <v>19</v>
      </c>
      <c r="D11" s="78" t="s">
        <v>383</v>
      </c>
      <c r="E11" s="78"/>
      <c r="F11" s="78">
        <v>32017.200000000001</v>
      </c>
      <c r="G11" s="87">
        <v>1</v>
      </c>
    </row>
    <row r="12" spans="1:7" ht="18" x14ac:dyDescent="0.2">
      <c r="A12" s="7">
        <v>3</v>
      </c>
      <c r="B12" s="91"/>
      <c r="C12" s="88"/>
      <c r="D12" s="88"/>
      <c r="E12" s="88"/>
      <c r="F12" s="88"/>
      <c r="G12" s="89"/>
    </row>
    <row r="13" spans="1:7" ht="18" x14ac:dyDescent="0.2">
      <c r="A13" s="8">
        <v>4</v>
      </c>
      <c r="B13" s="100"/>
      <c r="C13" s="92"/>
      <c r="D13" s="92"/>
      <c r="E13" s="92"/>
      <c r="F13" s="92"/>
      <c r="G13" s="93"/>
    </row>
    <row r="14" spans="1:7" ht="18" x14ac:dyDescent="0.25">
      <c r="A14" s="7">
        <v>5</v>
      </c>
      <c r="B14" s="100"/>
      <c r="C14" s="265"/>
      <c r="D14" s="265"/>
      <c r="E14" s="265"/>
      <c r="F14" s="105"/>
      <c r="G14" s="266"/>
    </row>
    <row r="15" spans="1:7" ht="18" x14ac:dyDescent="0.25">
      <c r="A15" s="5">
        <v>6</v>
      </c>
      <c r="B15" s="107"/>
      <c r="C15" s="108"/>
      <c r="D15" s="108"/>
      <c r="E15" s="108"/>
      <c r="F15" s="108"/>
      <c r="G15" s="109"/>
    </row>
    <row r="16" spans="1:7" ht="18" x14ac:dyDescent="0.25">
      <c r="A16" s="7">
        <v>7</v>
      </c>
      <c r="B16" s="104"/>
      <c r="C16" s="105"/>
      <c r="D16" s="105"/>
      <c r="E16" s="105"/>
      <c r="F16" s="105"/>
      <c r="G16" s="106"/>
    </row>
    <row r="17" spans="1:7" ht="18" x14ac:dyDescent="0.25">
      <c r="A17" s="5">
        <v>8</v>
      </c>
      <c r="B17" s="107"/>
      <c r="C17" s="108"/>
      <c r="D17" s="108"/>
      <c r="E17" s="108"/>
      <c r="F17" s="108"/>
      <c r="G17" s="109"/>
    </row>
    <row r="18" spans="1:7" ht="18" x14ac:dyDescent="0.25">
      <c r="A18" s="7">
        <v>9</v>
      </c>
      <c r="B18" s="104"/>
      <c r="C18" s="105"/>
      <c r="D18" s="105"/>
      <c r="E18" s="105"/>
      <c r="F18" s="105"/>
      <c r="G18" s="106"/>
    </row>
    <row r="19" spans="1:7" ht="18" x14ac:dyDescent="0.25">
      <c r="A19" s="5">
        <v>10</v>
      </c>
      <c r="B19" s="107"/>
      <c r="C19" s="108"/>
      <c r="D19" s="108"/>
      <c r="E19" s="108"/>
      <c r="F19" s="108"/>
      <c r="G19" s="109"/>
    </row>
    <row r="20" spans="1:7" ht="18" x14ac:dyDescent="0.25">
      <c r="A20" s="7">
        <v>11</v>
      </c>
      <c r="B20" s="104"/>
      <c r="C20" s="105"/>
      <c r="D20" s="105"/>
      <c r="E20" s="105"/>
      <c r="F20" s="105"/>
      <c r="G20" s="106"/>
    </row>
    <row r="21" spans="1:7" ht="18" x14ac:dyDescent="0.25">
      <c r="A21" s="5">
        <v>12</v>
      </c>
      <c r="B21" s="110"/>
      <c r="C21" s="111"/>
      <c r="D21" s="111"/>
      <c r="E21" s="111"/>
      <c r="F21" s="111"/>
      <c r="G21" s="112"/>
    </row>
    <row r="22" spans="1:7" ht="18" x14ac:dyDescent="0.25">
      <c r="A22" s="7">
        <v>13</v>
      </c>
      <c r="B22" s="104"/>
      <c r="C22" s="105"/>
      <c r="D22" s="105"/>
      <c r="E22" s="105"/>
      <c r="F22" s="105"/>
      <c r="G22" s="106"/>
    </row>
    <row r="23" spans="1:7" ht="18" x14ac:dyDescent="0.25">
      <c r="A23" s="5">
        <v>14</v>
      </c>
      <c r="B23" s="107"/>
      <c r="C23" s="108"/>
      <c r="D23" s="108"/>
      <c r="E23" s="108"/>
      <c r="F23" s="108"/>
      <c r="G23" s="109"/>
    </row>
    <row r="24" spans="1:7" ht="18" x14ac:dyDescent="0.25">
      <c r="A24" s="7">
        <v>15</v>
      </c>
      <c r="B24" s="105"/>
      <c r="C24" s="105"/>
      <c r="D24" s="105"/>
      <c r="E24" s="105"/>
      <c r="F24" s="105"/>
      <c r="G24" s="106"/>
    </row>
    <row r="25" spans="1:7" ht="18" x14ac:dyDescent="0.25">
      <c r="A25" s="5">
        <v>16</v>
      </c>
      <c r="B25" s="108"/>
      <c r="C25" s="108"/>
      <c r="D25" s="108"/>
      <c r="E25" s="108"/>
      <c r="F25" s="108"/>
      <c r="G25" s="109"/>
    </row>
    <row r="26" spans="1:7" ht="18" x14ac:dyDescent="0.25">
      <c r="A26" s="7">
        <v>17</v>
      </c>
      <c r="B26" s="105"/>
      <c r="C26" s="105"/>
      <c r="D26" s="105"/>
      <c r="E26" s="105"/>
      <c r="F26" s="105"/>
      <c r="G26" s="106"/>
    </row>
    <row r="27" spans="1:7" ht="18" x14ac:dyDescent="0.25">
      <c r="A27" s="5">
        <v>18</v>
      </c>
      <c r="B27" s="108"/>
      <c r="C27" s="108"/>
      <c r="D27" s="108"/>
      <c r="E27" s="108"/>
      <c r="F27" s="108"/>
      <c r="G27" s="109"/>
    </row>
    <row r="28" spans="1:7" ht="18" x14ac:dyDescent="0.25">
      <c r="A28" s="7">
        <v>19</v>
      </c>
      <c r="B28" s="105"/>
      <c r="C28" s="105"/>
      <c r="D28" s="105"/>
      <c r="E28" s="105"/>
      <c r="F28" s="105"/>
      <c r="G28" s="106"/>
    </row>
    <row r="29" spans="1:7" ht="18" x14ac:dyDescent="0.25">
      <c r="A29" s="5">
        <v>20</v>
      </c>
      <c r="B29" s="108"/>
      <c r="C29" s="108"/>
      <c r="D29" s="108"/>
      <c r="E29" s="108"/>
      <c r="F29" s="108"/>
      <c r="G29" s="109"/>
    </row>
    <row r="30" spans="1:7" ht="18" x14ac:dyDescent="0.25">
      <c r="A30" s="7">
        <v>21</v>
      </c>
      <c r="B30" s="105"/>
      <c r="C30" s="105"/>
      <c r="D30" s="105"/>
      <c r="E30" s="105"/>
      <c r="F30" s="105"/>
      <c r="G30" s="106"/>
    </row>
    <row r="31" spans="1:7" ht="18" x14ac:dyDescent="0.25">
      <c r="A31" s="5">
        <v>22</v>
      </c>
      <c r="B31" s="108"/>
      <c r="C31" s="108"/>
      <c r="D31" s="108"/>
      <c r="E31" s="108"/>
      <c r="F31" s="108"/>
      <c r="G31" s="109"/>
    </row>
    <row r="32" spans="1:7" ht="18" x14ac:dyDescent="0.25">
      <c r="A32" s="7">
        <v>23</v>
      </c>
      <c r="B32" s="105"/>
      <c r="C32" s="105"/>
      <c r="D32" s="105"/>
      <c r="E32" s="105"/>
      <c r="F32" s="105"/>
      <c r="G32" s="106"/>
    </row>
    <row r="33" spans="1:7" ht="18" x14ac:dyDescent="0.25">
      <c r="A33" s="5">
        <v>24</v>
      </c>
      <c r="B33" s="108"/>
      <c r="C33" s="108"/>
      <c r="D33" s="108"/>
      <c r="E33" s="108"/>
      <c r="F33" s="108"/>
      <c r="G33" s="109"/>
    </row>
    <row r="34" spans="1:7" ht="18" x14ac:dyDescent="0.25">
      <c r="A34" s="7">
        <v>25</v>
      </c>
      <c r="B34" s="105"/>
      <c r="C34" s="105"/>
      <c r="D34" s="105"/>
      <c r="E34" s="105"/>
      <c r="F34" s="105"/>
      <c r="G34" s="106"/>
    </row>
    <row r="35" spans="1:7" ht="18" x14ac:dyDescent="0.25">
      <c r="A35" s="9" t="s">
        <v>8</v>
      </c>
      <c r="B35" s="369" t="s">
        <v>9</v>
      </c>
      <c r="C35" s="370"/>
      <c r="D35" s="113" t="s">
        <v>7</v>
      </c>
      <c r="E35" s="369">
        <f>SUM(E10:E34)</f>
        <v>0</v>
      </c>
      <c r="F35" s="371"/>
      <c r="G35" s="114">
        <f>SUM(G10:G34)</f>
        <v>2</v>
      </c>
    </row>
    <row r="36" spans="1:7" x14ac:dyDescent="0.2">
      <c r="A36" s="355" t="s">
        <v>10</v>
      </c>
      <c r="B36" s="356"/>
      <c r="C36" s="356"/>
      <c r="D36" s="356"/>
      <c r="E36" s="356"/>
      <c r="F36" s="356"/>
      <c r="G36" s="357"/>
    </row>
    <row r="37" spans="1:7" x14ac:dyDescent="0.2">
      <c r="A37" s="358"/>
      <c r="B37" s="359"/>
      <c r="C37" s="359"/>
      <c r="D37" s="359"/>
      <c r="E37" s="359"/>
      <c r="F37" s="359"/>
      <c r="G37" s="360"/>
    </row>
    <row r="38" spans="1:7" x14ac:dyDescent="0.2">
      <c r="A38" s="358"/>
      <c r="B38" s="359"/>
      <c r="C38" s="359"/>
      <c r="D38" s="359"/>
      <c r="E38" s="359"/>
      <c r="F38" s="359"/>
      <c r="G38" s="360"/>
    </row>
    <row r="39" spans="1:7" x14ac:dyDescent="0.2">
      <c r="A39" s="358"/>
      <c r="B39" s="359"/>
      <c r="C39" s="359"/>
      <c r="D39" s="359"/>
      <c r="E39" s="359"/>
      <c r="F39" s="359"/>
      <c r="G39" s="360"/>
    </row>
    <row r="40" spans="1:7" ht="18.75" thickBot="1" x14ac:dyDescent="0.25">
      <c r="A40" s="361"/>
      <c r="B40" s="362"/>
      <c r="C40" s="362"/>
      <c r="D40" s="362"/>
      <c r="E40" s="362"/>
      <c r="F40" s="362"/>
      <c r="G40" s="363"/>
    </row>
  </sheetData>
  <mergeCells count="5">
    <mergeCell ref="B35:C35"/>
    <mergeCell ref="E35:F35"/>
    <mergeCell ref="A36:G39"/>
    <mergeCell ref="A40:G40"/>
    <mergeCell ref="A2:B6"/>
  </mergeCells>
  <pageMargins left="0.7" right="0.7" top="0.75" bottom="0.75" header="0.3" footer="0.3"/>
  <pageSetup paperSize="9" scale="80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D782-FF73-43B1-9715-4A0D2B9F8B35}">
  <sheetPr>
    <tabColor rgb="FF92D050"/>
  </sheetPr>
  <dimension ref="B9:N134"/>
  <sheetViews>
    <sheetView rightToLeft="1" topLeftCell="A136" zoomScaleNormal="100" workbookViewId="0">
      <selection activeCell="J68" sqref="J68:K68"/>
    </sheetView>
  </sheetViews>
  <sheetFormatPr defaultRowHeight="14.25" x14ac:dyDescent="0.2"/>
  <sheetData>
    <row r="9" spans="2:11" ht="15.75" x14ac:dyDescent="0.2">
      <c r="B9" s="29" t="s">
        <v>38</v>
      </c>
      <c r="C9" s="406" t="s">
        <v>39</v>
      </c>
      <c r="D9" s="407"/>
      <c r="E9" s="408" t="s">
        <v>57</v>
      </c>
      <c r="F9" s="409"/>
      <c r="G9" s="409"/>
      <c r="H9" s="409"/>
    </row>
    <row r="10" spans="2:11" ht="15.75" x14ac:dyDescent="0.2">
      <c r="B10" s="29" t="s">
        <v>54</v>
      </c>
      <c r="C10" s="406">
        <v>1</v>
      </c>
      <c r="D10" s="407"/>
      <c r="E10" s="408"/>
      <c r="F10" s="409"/>
      <c r="G10" s="409"/>
      <c r="H10" s="409"/>
    </row>
    <row r="11" spans="2:11" ht="15.75" x14ac:dyDescent="0.2">
      <c r="B11" s="29" t="s">
        <v>40</v>
      </c>
      <c r="C11" s="406" t="s">
        <v>41</v>
      </c>
      <c r="D11" s="407"/>
      <c r="E11" s="408"/>
      <c r="F11" s="409"/>
      <c r="G11" s="409"/>
      <c r="H11" s="409"/>
    </row>
    <row r="12" spans="2:11" ht="15.75" x14ac:dyDescent="0.2">
      <c r="B12" s="29" t="s">
        <v>42</v>
      </c>
      <c r="C12" s="431">
        <v>45047</v>
      </c>
      <c r="D12" s="432"/>
      <c r="E12" s="408"/>
      <c r="F12" s="409"/>
      <c r="G12" s="409"/>
      <c r="H12" s="409"/>
    </row>
    <row r="16" spans="2:11" ht="20.25" x14ac:dyDescent="0.2">
      <c r="B16" s="412" t="s">
        <v>69</v>
      </c>
      <c r="C16" s="413"/>
      <c r="D16" s="414"/>
      <c r="I16" s="415" t="s">
        <v>70</v>
      </c>
      <c r="J16" s="416"/>
      <c r="K16" s="417"/>
    </row>
    <row r="17" spans="2:14" x14ac:dyDescent="0.2">
      <c r="B17" s="433" t="s">
        <v>472</v>
      </c>
      <c r="C17" s="419"/>
      <c r="D17" s="420"/>
      <c r="F17" s="427" t="s">
        <v>104</v>
      </c>
      <c r="G17" s="428"/>
      <c r="I17" s="433" t="s">
        <v>473</v>
      </c>
      <c r="J17" s="419"/>
      <c r="K17" s="420"/>
    </row>
    <row r="18" spans="2:14" x14ac:dyDescent="0.2">
      <c r="B18" s="421"/>
      <c r="C18" s="422"/>
      <c r="D18" s="423"/>
      <c r="F18" s="429"/>
      <c r="G18" s="430"/>
      <c r="I18" s="421"/>
      <c r="J18" s="422"/>
      <c r="K18" s="423"/>
    </row>
    <row r="19" spans="2:14" x14ac:dyDescent="0.2">
      <c r="B19" s="424"/>
      <c r="C19" s="425"/>
      <c r="D19" s="426"/>
      <c r="I19" s="424"/>
      <c r="J19" s="425"/>
      <c r="K19" s="426"/>
    </row>
    <row r="20" spans="2:14" ht="20.25" x14ac:dyDescent="0.2">
      <c r="B20" s="30">
        <v>1</v>
      </c>
      <c r="C20" s="373">
        <v>479367</v>
      </c>
      <c r="D20" s="374"/>
      <c r="I20" s="30">
        <v>1</v>
      </c>
      <c r="J20" s="373">
        <v>483285</v>
      </c>
      <c r="K20" s="374"/>
    </row>
    <row r="21" spans="2:14" ht="20.25" customHeight="1" x14ac:dyDescent="0.3">
      <c r="B21" s="30">
        <v>2</v>
      </c>
      <c r="C21" s="375">
        <v>1696883</v>
      </c>
      <c r="D21" s="376"/>
      <c r="E21" s="392" t="s">
        <v>145</v>
      </c>
      <c r="F21" s="393"/>
      <c r="G21" s="394">
        <v>4</v>
      </c>
      <c r="H21" s="395"/>
      <c r="I21" s="30">
        <v>2</v>
      </c>
      <c r="J21" s="375">
        <v>1709165</v>
      </c>
      <c r="K21" s="376"/>
    </row>
    <row r="22" spans="2:14" ht="20.25" customHeight="1" x14ac:dyDescent="0.3">
      <c r="B22" s="30">
        <v>3</v>
      </c>
      <c r="C22" s="375">
        <v>746505</v>
      </c>
      <c r="D22" s="376"/>
      <c r="E22" s="392" t="s">
        <v>146</v>
      </c>
      <c r="F22" s="393"/>
      <c r="G22" s="394">
        <v>128097</v>
      </c>
      <c r="H22" s="395"/>
      <c r="I22" s="30">
        <v>3</v>
      </c>
      <c r="J22" s="375">
        <v>752598</v>
      </c>
      <c r="K22" s="376"/>
    </row>
    <row r="23" spans="2:14" ht="20.25" customHeight="1" x14ac:dyDescent="0.3">
      <c r="B23" s="30">
        <v>4</v>
      </c>
      <c r="C23" s="375">
        <v>1963396</v>
      </c>
      <c r="D23" s="376"/>
      <c r="E23" s="392" t="s">
        <v>147</v>
      </c>
      <c r="F23" s="393"/>
      <c r="G23" s="394">
        <f>J36-C36</f>
        <v>127429</v>
      </c>
      <c r="H23" s="395"/>
      <c r="I23" s="30">
        <v>4</v>
      </c>
      <c r="J23" s="375">
        <v>1981938</v>
      </c>
      <c r="K23" s="376"/>
    </row>
    <row r="24" spans="2:14" ht="20.25" customHeight="1" x14ac:dyDescent="0.3">
      <c r="B24" s="30">
        <v>5</v>
      </c>
      <c r="C24" s="375">
        <v>286196</v>
      </c>
      <c r="D24" s="376"/>
      <c r="E24" s="396" t="s">
        <v>148</v>
      </c>
      <c r="F24" s="397"/>
      <c r="G24" s="394">
        <f>G22-G23</f>
        <v>668</v>
      </c>
      <c r="H24" s="395"/>
      <c r="I24" s="30">
        <v>5</v>
      </c>
      <c r="J24" s="375">
        <v>289099</v>
      </c>
      <c r="K24" s="376"/>
      <c r="N24" s="333"/>
    </row>
    <row r="25" spans="2:14" ht="20.25" customHeight="1" x14ac:dyDescent="0.25">
      <c r="B25" s="30">
        <v>6</v>
      </c>
      <c r="C25" s="375">
        <v>1688950</v>
      </c>
      <c r="D25" s="376"/>
      <c r="E25" s="398" t="s">
        <v>149</v>
      </c>
      <c r="F25" s="399"/>
      <c r="G25" s="402">
        <f>G24/G21</f>
        <v>167</v>
      </c>
      <c r="H25" s="403"/>
      <c r="I25" s="30">
        <v>6</v>
      </c>
      <c r="J25" s="375">
        <v>1704714</v>
      </c>
      <c r="K25" s="376"/>
      <c r="M25" s="18"/>
    </row>
    <row r="26" spans="2:14" ht="20.25" customHeight="1" x14ac:dyDescent="0.2">
      <c r="B26" s="30">
        <v>7</v>
      </c>
      <c r="C26" s="375">
        <v>356254</v>
      </c>
      <c r="D26" s="376"/>
      <c r="E26" s="400"/>
      <c r="F26" s="401"/>
      <c r="G26" s="404"/>
      <c r="H26" s="405"/>
      <c r="I26" s="30">
        <v>7</v>
      </c>
      <c r="J26" s="375">
        <v>358357</v>
      </c>
      <c r="K26" s="376"/>
    </row>
    <row r="27" spans="2:14" ht="20.25" customHeight="1" x14ac:dyDescent="0.2">
      <c r="B27" s="30">
        <v>8</v>
      </c>
      <c r="C27" s="375">
        <v>1333935</v>
      </c>
      <c r="D27" s="376"/>
      <c r="E27" s="388" t="s">
        <v>150</v>
      </c>
      <c r="F27" s="389"/>
      <c r="G27" s="390"/>
      <c r="H27" s="391"/>
      <c r="I27" s="30">
        <v>8</v>
      </c>
      <c r="J27" s="375">
        <v>1346834</v>
      </c>
      <c r="K27" s="376"/>
    </row>
    <row r="28" spans="2:14" ht="20.25" customHeight="1" x14ac:dyDescent="0.2">
      <c r="B28" s="30">
        <v>9</v>
      </c>
      <c r="C28" s="375">
        <v>540513</v>
      </c>
      <c r="D28" s="376"/>
      <c r="I28" s="30">
        <v>9</v>
      </c>
      <c r="J28" s="375">
        <v>544054</v>
      </c>
      <c r="K28" s="376"/>
    </row>
    <row r="29" spans="2:14" ht="20.25" customHeight="1" x14ac:dyDescent="0.2">
      <c r="B29" s="30">
        <v>10</v>
      </c>
      <c r="C29" s="375">
        <v>1259434</v>
      </c>
      <c r="D29" s="376"/>
      <c r="I29" s="30">
        <v>10</v>
      </c>
      <c r="J29" s="375">
        <v>1269089</v>
      </c>
      <c r="K29" s="376"/>
    </row>
    <row r="30" spans="2:14" ht="20.25" customHeight="1" x14ac:dyDescent="0.2">
      <c r="B30" s="30">
        <v>11</v>
      </c>
      <c r="C30" s="375">
        <v>548427</v>
      </c>
      <c r="D30" s="376"/>
      <c r="I30" s="30">
        <v>11</v>
      </c>
      <c r="J30" s="375">
        <v>553980</v>
      </c>
      <c r="K30" s="376"/>
    </row>
    <row r="31" spans="2:14" ht="20.25" customHeight="1" x14ac:dyDescent="0.2">
      <c r="B31" s="30">
        <v>12</v>
      </c>
      <c r="C31" s="375">
        <v>1294508</v>
      </c>
      <c r="D31" s="376"/>
      <c r="I31" s="30">
        <v>12</v>
      </c>
      <c r="J31" s="375">
        <v>1307270</v>
      </c>
      <c r="K31" s="376"/>
    </row>
    <row r="32" spans="2:14" ht="20.25" customHeight="1" x14ac:dyDescent="0.2">
      <c r="B32" s="30">
        <v>13</v>
      </c>
      <c r="C32" s="375">
        <v>337903</v>
      </c>
      <c r="D32" s="376"/>
      <c r="I32" s="30">
        <v>13</v>
      </c>
      <c r="J32" s="375">
        <v>340870</v>
      </c>
      <c r="K32" s="376"/>
    </row>
    <row r="33" spans="2:11" ht="20.25" customHeight="1" x14ac:dyDescent="0.2">
      <c r="B33" s="30">
        <v>14</v>
      </c>
      <c r="C33" s="375">
        <v>1088946</v>
      </c>
      <c r="D33" s="376"/>
      <c r="I33" s="30">
        <v>14</v>
      </c>
      <c r="J33" s="375">
        <v>1098245</v>
      </c>
      <c r="K33" s="376"/>
    </row>
    <row r="34" spans="2:11" ht="20.25" customHeight="1" x14ac:dyDescent="0.2">
      <c r="B34" s="30">
        <v>15</v>
      </c>
      <c r="C34" s="375">
        <v>168409</v>
      </c>
      <c r="D34" s="376"/>
      <c r="I34" s="30">
        <v>15</v>
      </c>
      <c r="J34" s="375">
        <v>170159</v>
      </c>
      <c r="K34" s="376"/>
    </row>
    <row r="35" spans="2:11" ht="20.25" customHeight="1" x14ac:dyDescent="0.2">
      <c r="B35" s="30">
        <v>16</v>
      </c>
      <c r="C35" s="375">
        <v>843330</v>
      </c>
      <c r="D35" s="376"/>
      <c r="I35" s="30">
        <v>16</v>
      </c>
      <c r="J35" s="375">
        <v>850728</v>
      </c>
      <c r="K35" s="376"/>
    </row>
    <row r="36" spans="2:11" ht="20.25" customHeight="1" x14ac:dyDescent="0.2">
      <c r="B36" s="30" t="s">
        <v>55</v>
      </c>
      <c r="C36" s="375">
        <f>SUM(C20:D35)</f>
        <v>14632956</v>
      </c>
      <c r="D36" s="376"/>
      <c r="I36" s="30" t="s">
        <v>55</v>
      </c>
      <c r="J36" s="375">
        <f>SUM(J20:K35)</f>
        <v>14760385</v>
      </c>
      <c r="K36" s="376"/>
    </row>
    <row r="37" spans="2:11" x14ac:dyDescent="0.2">
      <c r="B37" s="377" t="s">
        <v>56</v>
      </c>
      <c r="C37" s="378"/>
    </row>
    <row r="38" spans="2:11" x14ac:dyDescent="0.2">
      <c r="B38" s="378"/>
      <c r="C38" s="378"/>
    </row>
    <row r="39" spans="2:11" x14ac:dyDescent="0.2">
      <c r="B39" s="379"/>
      <c r="C39" s="380"/>
      <c r="D39" s="380"/>
      <c r="E39" s="380"/>
      <c r="F39" s="380"/>
      <c r="G39" s="380"/>
      <c r="H39" s="380"/>
      <c r="I39" s="380"/>
      <c r="J39" s="380"/>
      <c r="K39" s="381"/>
    </row>
    <row r="40" spans="2:11" x14ac:dyDescent="0.2">
      <c r="B40" s="382"/>
      <c r="C40" s="383"/>
      <c r="D40" s="383"/>
      <c r="E40" s="383"/>
      <c r="F40" s="383"/>
      <c r="G40" s="383"/>
      <c r="H40" s="383"/>
      <c r="I40" s="383"/>
      <c r="J40" s="383"/>
      <c r="K40" s="384"/>
    </row>
    <row r="41" spans="2:11" x14ac:dyDescent="0.2">
      <c r="B41" s="382"/>
      <c r="C41" s="383"/>
      <c r="D41" s="383"/>
      <c r="E41" s="383"/>
      <c r="F41" s="383"/>
      <c r="G41" s="383"/>
      <c r="H41" s="383"/>
      <c r="I41" s="383"/>
      <c r="J41" s="383"/>
      <c r="K41" s="384"/>
    </row>
    <row r="42" spans="2:11" x14ac:dyDescent="0.2">
      <c r="B42" s="382"/>
      <c r="C42" s="383"/>
      <c r="D42" s="383"/>
      <c r="E42" s="383"/>
      <c r="F42" s="383"/>
      <c r="G42" s="383"/>
      <c r="H42" s="383"/>
      <c r="I42" s="383"/>
      <c r="J42" s="383"/>
      <c r="K42" s="384"/>
    </row>
    <row r="43" spans="2:11" x14ac:dyDescent="0.2">
      <c r="B43" s="385"/>
      <c r="C43" s="386"/>
      <c r="D43" s="386"/>
      <c r="E43" s="386"/>
      <c r="F43" s="386"/>
      <c r="G43" s="386"/>
      <c r="H43" s="386"/>
      <c r="I43" s="386"/>
      <c r="J43" s="386"/>
      <c r="K43" s="387"/>
    </row>
    <row r="54" spans="2:11" ht="15.75" x14ac:dyDescent="0.2">
      <c r="B54" s="29" t="s">
        <v>38</v>
      </c>
      <c r="C54" s="406" t="s">
        <v>39</v>
      </c>
      <c r="D54" s="407"/>
      <c r="E54" s="408" t="s">
        <v>57</v>
      </c>
      <c r="F54" s="409"/>
      <c r="G54" s="409"/>
      <c r="H54" s="409"/>
    </row>
    <row r="55" spans="2:11" ht="15.75" x14ac:dyDescent="0.2">
      <c r="B55" s="29" t="s">
        <v>54</v>
      </c>
      <c r="C55" s="406">
        <v>1</v>
      </c>
      <c r="D55" s="407"/>
      <c r="E55" s="408"/>
      <c r="F55" s="409"/>
      <c r="G55" s="409"/>
      <c r="H55" s="409"/>
    </row>
    <row r="56" spans="2:11" ht="15.75" x14ac:dyDescent="0.2">
      <c r="B56" s="29" t="s">
        <v>40</v>
      </c>
      <c r="C56" s="406" t="s">
        <v>41</v>
      </c>
      <c r="D56" s="407"/>
      <c r="E56" s="408"/>
      <c r="F56" s="409"/>
      <c r="G56" s="409"/>
      <c r="H56" s="409"/>
    </row>
    <row r="57" spans="2:11" ht="15.75" x14ac:dyDescent="0.2">
      <c r="B57" s="29" t="s">
        <v>42</v>
      </c>
      <c r="C57" s="410">
        <v>45065</v>
      </c>
      <c r="D57" s="411"/>
      <c r="E57" s="408"/>
      <c r="F57" s="409"/>
      <c r="G57" s="409"/>
      <c r="H57" s="409"/>
    </row>
    <row r="61" spans="2:11" ht="20.25" x14ac:dyDescent="0.2">
      <c r="B61" s="412" t="s">
        <v>69</v>
      </c>
      <c r="C61" s="413"/>
      <c r="D61" s="414"/>
      <c r="I61" s="415" t="s">
        <v>70</v>
      </c>
      <c r="J61" s="416"/>
      <c r="K61" s="417"/>
    </row>
    <row r="62" spans="2:11" ht="14.25" customHeight="1" x14ac:dyDescent="0.2">
      <c r="B62" s="433" t="s">
        <v>500</v>
      </c>
      <c r="C62" s="419"/>
      <c r="D62" s="420"/>
      <c r="F62" s="427" t="s">
        <v>104</v>
      </c>
      <c r="G62" s="428"/>
      <c r="I62" s="418" t="s">
        <v>499</v>
      </c>
      <c r="J62" s="419"/>
      <c r="K62" s="420"/>
    </row>
    <row r="63" spans="2:11" ht="14.25" customHeight="1" x14ac:dyDescent="0.2">
      <c r="B63" s="421"/>
      <c r="C63" s="422"/>
      <c r="D63" s="423"/>
      <c r="F63" s="429"/>
      <c r="G63" s="430"/>
      <c r="I63" s="421"/>
      <c r="J63" s="422"/>
      <c r="K63" s="423"/>
    </row>
    <row r="64" spans="2:11" ht="14.25" customHeight="1" x14ac:dyDescent="0.2">
      <c r="B64" s="424"/>
      <c r="C64" s="425"/>
      <c r="D64" s="426"/>
      <c r="I64" s="424"/>
      <c r="J64" s="425"/>
      <c r="K64" s="426"/>
    </row>
    <row r="65" spans="2:11" ht="20.25" x14ac:dyDescent="0.2">
      <c r="B65" s="30">
        <v>1</v>
      </c>
      <c r="C65" s="373">
        <v>483285</v>
      </c>
      <c r="D65" s="374"/>
      <c r="I65" s="30">
        <v>1</v>
      </c>
      <c r="J65" s="373">
        <v>495709</v>
      </c>
      <c r="K65" s="374"/>
    </row>
    <row r="66" spans="2:11" ht="20.25" customHeight="1" x14ac:dyDescent="0.3">
      <c r="B66" s="30">
        <v>2</v>
      </c>
      <c r="C66" s="375">
        <v>1709165</v>
      </c>
      <c r="D66" s="376"/>
      <c r="E66" s="392" t="s">
        <v>145</v>
      </c>
      <c r="F66" s="393"/>
      <c r="G66" s="394">
        <v>14</v>
      </c>
      <c r="H66" s="395"/>
      <c r="I66" s="30">
        <v>2</v>
      </c>
      <c r="J66" s="375">
        <v>1752434</v>
      </c>
      <c r="K66" s="376"/>
    </row>
    <row r="67" spans="2:11" ht="20.25" customHeight="1" x14ac:dyDescent="0.3">
      <c r="B67" s="30">
        <v>3</v>
      </c>
      <c r="C67" s="375">
        <v>752598</v>
      </c>
      <c r="D67" s="376"/>
      <c r="E67" s="392" t="s">
        <v>146</v>
      </c>
      <c r="F67" s="393"/>
      <c r="G67" s="394">
        <v>448565</v>
      </c>
      <c r="H67" s="395"/>
      <c r="I67" s="30">
        <v>3</v>
      </c>
      <c r="J67" s="375">
        <v>771818</v>
      </c>
      <c r="K67" s="376"/>
    </row>
    <row r="68" spans="2:11" ht="20.25" customHeight="1" x14ac:dyDescent="0.3">
      <c r="B68" s="30">
        <v>4</v>
      </c>
      <c r="C68" s="375">
        <v>1981938</v>
      </c>
      <c r="D68" s="376"/>
      <c r="E68" s="392" t="s">
        <v>147</v>
      </c>
      <c r="F68" s="393"/>
      <c r="G68" s="394" t="s">
        <v>274</v>
      </c>
      <c r="H68" s="395"/>
      <c r="I68" s="30">
        <v>4</v>
      </c>
      <c r="J68" s="375">
        <v>2039283</v>
      </c>
      <c r="K68" s="376"/>
    </row>
    <row r="69" spans="2:11" ht="20.25" customHeight="1" x14ac:dyDescent="0.3">
      <c r="B69" s="30">
        <v>5</v>
      </c>
      <c r="C69" s="375">
        <v>289099</v>
      </c>
      <c r="D69" s="376"/>
      <c r="E69" s="396" t="s">
        <v>148</v>
      </c>
      <c r="F69" s="397"/>
      <c r="G69" s="394" t="e">
        <f>G67-G68</f>
        <v>#VALUE!</v>
      </c>
      <c r="H69" s="395"/>
      <c r="I69" s="30">
        <v>5</v>
      </c>
      <c r="J69" s="375">
        <v>299845</v>
      </c>
      <c r="K69" s="376"/>
    </row>
    <row r="70" spans="2:11" ht="20.25" customHeight="1" x14ac:dyDescent="0.2">
      <c r="B70" s="30">
        <v>6</v>
      </c>
      <c r="C70" s="375">
        <v>1704714</v>
      </c>
      <c r="D70" s="376"/>
      <c r="E70" s="398" t="s">
        <v>149</v>
      </c>
      <c r="F70" s="399"/>
      <c r="G70" s="402" t="e">
        <f>G69/G66</f>
        <v>#VALUE!</v>
      </c>
      <c r="H70" s="403"/>
      <c r="I70" s="30">
        <v>6</v>
      </c>
      <c r="J70" s="375">
        <v>1760399</v>
      </c>
      <c r="K70" s="376"/>
    </row>
    <row r="71" spans="2:11" ht="20.25" customHeight="1" x14ac:dyDescent="0.2">
      <c r="B71" s="30">
        <v>7</v>
      </c>
      <c r="C71" s="375">
        <v>358357</v>
      </c>
      <c r="D71" s="376"/>
      <c r="E71" s="400"/>
      <c r="F71" s="401"/>
      <c r="G71" s="404"/>
      <c r="H71" s="405"/>
      <c r="I71" s="30">
        <v>7</v>
      </c>
      <c r="J71" s="375">
        <v>366854</v>
      </c>
      <c r="K71" s="376"/>
    </row>
    <row r="72" spans="2:11" ht="20.25" customHeight="1" x14ac:dyDescent="0.2">
      <c r="B72" s="30">
        <v>8</v>
      </c>
      <c r="C72" s="375">
        <v>1346834</v>
      </c>
      <c r="D72" s="376"/>
      <c r="E72" s="388" t="s">
        <v>150</v>
      </c>
      <c r="F72" s="389"/>
      <c r="G72" s="390"/>
      <c r="H72" s="391"/>
      <c r="I72" s="30">
        <v>8</v>
      </c>
      <c r="J72" s="375">
        <v>1393758</v>
      </c>
      <c r="K72" s="376"/>
    </row>
    <row r="73" spans="2:11" ht="20.25" customHeight="1" x14ac:dyDescent="0.2">
      <c r="B73" s="30">
        <v>9</v>
      </c>
      <c r="C73" s="375">
        <v>544054</v>
      </c>
      <c r="D73" s="376"/>
      <c r="I73" s="30">
        <v>9</v>
      </c>
      <c r="J73" s="375">
        <v>556924</v>
      </c>
      <c r="K73" s="376"/>
    </row>
    <row r="74" spans="2:11" ht="20.25" customHeight="1" x14ac:dyDescent="0.2">
      <c r="B74" s="30">
        <v>10</v>
      </c>
      <c r="C74" s="375">
        <v>1269089</v>
      </c>
      <c r="D74" s="376"/>
      <c r="I74" s="30">
        <v>10</v>
      </c>
      <c r="J74" s="375">
        <v>1301579</v>
      </c>
      <c r="K74" s="376"/>
    </row>
    <row r="75" spans="2:11" ht="20.25" customHeight="1" x14ac:dyDescent="0.2">
      <c r="B75" s="30">
        <v>11</v>
      </c>
      <c r="C75" s="375">
        <v>553980</v>
      </c>
      <c r="D75" s="376"/>
      <c r="I75" s="30">
        <v>11</v>
      </c>
      <c r="J75" s="375">
        <v>571093</v>
      </c>
      <c r="K75" s="376"/>
    </row>
    <row r="76" spans="2:11" ht="20.25" customHeight="1" x14ac:dyDescent="0.2">
      <c r="B76" s="30">
        <v>12</v>
      </c>
      <c r="C76" s="375">
        <v>1307270</v>
      </c>
      <c r="D76" s="376"/>
      <c r="I76" s="30">
        <v>12</v>
      </c>
      <c r="J76" s="375">
        <v>1353452</v>
      </c>
      <c r="K76" s="376"/>
    </row>
    <row r="77" spans="2:11" ht="20.25" customHeight="1" x14ac:dyDescent="0.2">
      <c r="B77" s="30">
        <v>13</v>
      </c>
      <c r="C77" s="375">
        <v>340870</v>
      </c>
      <c r="D77" s="376"/>
      <c r="I77" s="30">
        <v>13</v>
      </c>
      <c r="J77" s="375">
        <v>350274</v>
      </c>
      <c r="K77" s="376"/>
    </row>
    <row r="78" spans="2:11" ht="20.25" customHeight="1" x14ac:dyDescent="0.2">
      <c r="B78" s="30">
        <v>14</v>
      </c>
      <c r="C78" s="375">
        <v>1098245</v>
      </c>
      <c r="D78" s="376"/>
      <c r="I78" s="30">
        <v>14</v>
      </c>
      <c r="J78" s="375">
        <v>1135760</v>
      </c>
      <c r="K78" s="376"/>
    </row>
    <row r="79" spans="2:11" ht="20.25" customHeight="1" x14ac:dyDescent="0.2">
      <c r="B79" s="30">
        <v>15</v>
      </c>
      <c r="C79" s="375">
        <v>170159</v>
      </c>
      <c r="D79" s="376"/>
      <c r="I79" s="30">
        <v>15</v>
      </c>
      <c r="J79" s="375">
        <v>175823</v>
      </c>
      <c r="K79" s="376"/>
    </row>
    <row r="80" spans="2:11" ht="20.25" customHeight="1" x14ac:dyDescent="0.2">
      <c r="B80" s="30">
        <v>16</v>
      </c>
      <c r="C80" s="375">
        <v>850728</v>
      </c>
      <c r="D80" s="376"/>
      <c r="I80" s="30">
        <v>16</v>
      </c>
      <c r="J80" s="375">
        <v>879956</v>
      </c>
      <c r="K80" s="376"/>
    </row>
    <row r="81" spans="2:11" ht="20.25" customHeight="1" x14ac:dyDescent="0.2">
      <c r="B81" s="30" t="s">
        <v>55</v>
      </c>
      <c r="C81" s="375">
        <f>SUM(C65:C80)</f>
        <v>14760385</v>
      </c>
      <c r="D81" s="376"/>
      <c r="I81" s="30" t="s">
        <v>55</v>
      </c>
      <c r="J81" s="375">
        <f>SUM(J65:J80)</f>
        <v>15204961</v>
      </c>
      <c r="K81" s="376"/>
    </row>
    <row r="82" spans="2:11" x14ac:dyDescent="0.2">
      <c r="B82" s="377" t="s">
        <v>56</v>
      </c>
      <c r="C82" s="378"/>
    </row>
    <row r="83" spans="2:11" x14ac:dyDescent="0.2">
      <c r="B83" s="378"/>
      <c r="C83" s="378"/>
    </row>
    <row r="84" spans="2:11" x14ac:dyDescent="0.2">
      <c r="B84" s="379"/>
      <c r="C84" s="380"/>
      <c r="D84" s="380"/>
      <c r="E84" s="380"/>
      <c r="F84" s="380"/>
      <c r="G84" s="380"/>
      <c r="H84" s="380"/>
      <c r="I84" s="380"/>
      <c r="J84" s="380"/>
      <c r="K84" s="381"/>
    </row>
    <row r="85" spans="2:11" x14ac:dyDescent="0.2">
      <c r="B85" s="382"/>
      <c r="C85" s="383"/>
      <c r="D85" s="383"/>
      <c r="E85" s="383"/>
      <c r="F85" s="383"/>
      <c r="G85" s="383"/>
      <c r="H85" s="383"/>
      <c r="I85" s="383"/>
      <c r="J85" s="383"/>
      <c r="K85" s="384"/>
    </row>
    <row r="86" spans="2:11" x14ac:dyDescent="0.2">
      <c r="B86" s="382"/>
      <c r="C86" s="383"/>
      <c r="D86" s="383"/>
      <c r="E86" s="383"/>
      <c r="F86" s="383"/>
      <c r="G86" s="383"/>
      <c r="H86" s="383"/>
      <c r="I86" s="383"/>
      <c r="J86" s="383"/>
      <c r="K86" s="384"/>
    </row>
    <row r="87" spans="2:11" x14ac:dyDescent="0.2">
      <c r="B87" s="382"/>
      <c r="C87" s="383"/>
      <c r="D87" s="383"/>
      <c r="E87" s="383"/>
      <c r="F87" s="383"/>
      <c r="G87" s="383"/>
      <c r="H87" s="383"/>
      <c r="I87" s="383"/>
      <c r="J87" s="383"/>
      <c r="K87" s="384"/>
    </row>
    <row r="88" spans="2:11" x14ac:dyDescent="0.2">
      <c r="B88" s="385"/>
      <c r="C88" s="386"/>
      <c r="D88" s="386"/>
      <c r="E88" s="386"/>
      <c r="F88" s="386"/>
      <c r="G88" s="386"/>
      <c r="H88" s="386"/>
      <c r="I88" s="386"/>
      <c r="J88" s="386"/>
      <c r="K88" s="387"/>
    </row>
    <row r="100" spans="2:11" ht="15.75" x14ac:dyDescent="0.2">
      <c r="B100" s="29" t="s">
        <v>38</v>
      </c>
      <c r="C100" s="406" t="s">
        <v>39</v>
      </c>
      <c r="D100" s="407"/>
      <c r="E100" s="408" t="s">
        <v>57</v>
      </c>
      <c r="F100" s="409"/>
      <c r="G100" s="409"/>
      <c r="H100" s="409"/>
    </row>
    <row r="101" spans="2:11" ht="15.75" x14ac:dyDescent="0.2">
      <c r="B101" s="29" t="s">
        <v>54</v>
      </c>
      <c r="C101" s="406">
        <v>1</v>
      </c>
      <c r="D101" s="407"/>
      <c r="E101" s="408"/>
      <c r="F101" s="409"/>
      <c r="G101" s="409"/>
      <c r="H101" s="409"/>
    </row>
    <row r="102" spans="2:11" ht="15.75" x14ac:dyDescent="0.2">
      <c r="B102" s="29" t="s">
        <v>40</v>
      </c>
      <c r="C102" s="406" t="s">
        <v>41</v>
      </c>
      <c r="D102" s="407"/>
      <c r="E102" s="408"/>
      <c r="F102" s="409"/>
      <c r="G102" s="409"/>
      <c r="H102" s="409"/>
    </row>
    <row r="103" spans="2:11" ht="15.75" x14ac:dyDescent="0.2">
      <c r="B103" s="29" t="s">
        <v>42</v>
      </c>
      <c r="C103" s="410"/>
      <c r="D103" s="411"/>
      <c r="E103" s="408"/>
      <c r="F103" s="409"/>
      <c r="G103" s="409"/>
      <c r="H103" s="409"/>
    </row>
    <row r="107" spans="2:11" ht="20.25" x14ac:dyDescent="0.2">
      <c r="B107" s="412" t="s">
        <v>69</v>
      </c>
      <c r="C107" s="413"/>
      <c r="D107" s="414"/>
      <c r="I107" s="415" t="s">
        <v>70</v>
      </c>
      <c r="J107" s="416"/>
      <c r="K107" s="417"/>
    </row>
    <row r="108" spans="2:11" x14ac:dyDescent="0.2">
      <c r="B108" s="418" t="s">
        <v>333</v>
      </c>
      <c r="C108" s="419"/>
      <c r="D108" s="420"/>
      <c r="F108" s="427" t="s">
        <v>104</v>
      </c>
      <c r="G108" s="428"/>
      <c r="I108" s="418" t="s">
        <v>333</v>
      </c>
      <c r="J108" s="419"/>
      <c r="K108" s="420"/>
    </row>
    <row r="109" spans="2:11" x14ac:dyDescent="0.2">
      <c r="B109" s="421"/>
      <c r="C109" s="422"/>
      <c r="D109" s="423"/>
      <c r="F109" s="429"/>
      <c r="G109" s="430"/>
      <c r="I109" s="421"/>
      <c r="J109" s="422"/>
      <c r="K109" s="423"/>
    </row>
    <row r="110" spans="2:11" x14ac:dyDescent="0.2">
      <c r="B110" s="424"/>
      <c r="C110" s="425"/>
      <c r="D110" s="426"/>
      <c r="I110" s="424"/>
      <c r="J110" s="425"/>
      <c r="K110" s="426"/>
    </row>
    <row r="111" spans="2:11" ht="20.25" x14ac:dyDescent="0.2">
      <c r="B111" s="30">
        <v>1</v>
      </c>
      <c r="C111" s="373"/>
      <c r="D111" s="374"/>
      <c r="I111" s="30">
        <v>1</v>
      </c>
      <c r="J111" s="373"/>
      <c r="K111" s="374"/>
    </row>
    <row r="112" spans="2:11" ht="20.25" x14ac:dyDescent="0.3">
      <c r="B112" s="30">
        <v>2</v>
      </c>
      <c r="C112" s="375"/>
      <c r="D112" s="376"/>
      <c r="E112" s="392" t="s">
        <v>145</v>
      </c>
      <c r="F112" s="393"/>
      <c r="G112" s="394"/>
      <c r="H112" s="395"/>
      <c r="I112" s="30">
        <v>2</v>
      </c>
      <c r="J112" s="375"/>
      <c r="K112" s="376"/>
    </row>
    <row r="113" spans="2:11" ht="20.25" x14ac:dyDescent="0.3">
      <c r="B113" s="30">
        <v>3</v>
      </c>
      <c r="C113" s="375"/>
      <c r="D113" s="376"/>
      <c r="E113" s="392" t="s">
        <v>146</v>
      </c>
      <c r="F113" s="393"/>
      <c r="G113" s="394"/>
      <c r="H113" s="395"/>
      <c r="I113" s="30">
        <v>3</v>
      </c>
      <c r="J113" s="375"/>
      <c r="K113" s="376"/>
    </row>
    <row r="114" spans="2:11" ht="20.25" x14ac:dyDescent="0.3">
      <c r="B114" s="30">
        <v>4</v>
      </c>
      <c r="C114" s="375"/>
      <c r="D114" s="376"/>
      <c r="E114" s="392" t="s">
        <v>147</v>
      </c>
      <c r="F114" s="393"/>
      <c r="G114" s="394"/>
      <c r="H114" s="395"/>
      <c r="I114" s="30">
        <v>4</v>
      </c>
      <c r="J114" s="375"/>
      <c r="K114" s="376"/>
    </row>
    <row r="115" spans="2:11" ht="20.25" x14ac:dyDescent="0.3">
      <c r="B115" s="30">
        <v>5</v>
      </c>
      <c r="C115" s="375"/>
      <c r="D115" s="376"/>
      <c r="E115" s="396" t="s">
        <v>148</v>
      </c>
      <c r="F115" s="397"/>
      <c r="G115" s="394"/>
      <c r="H115" s="395"/>
      <c r="I115" s="30">
        <v>5</v>
      </c>
      <c r="J115" s="375"/>
      <c r="K115" s="376"/>
    </row>
    <row r="116" spans="2:11" ht="20.25" x14ac:dyDescent="0.2">
      <c r="B116" s="30">
        <v>6</v>
      </c>
      <c r="C116" s="375"/>
      <c r="D116" s="376"/>
      <c r="E116" s="398" t="s">
        <v>149</v>
      </c>
      <c r="F116" s="399"/>
      <c r="G116" s="402"/>
      <c r="H116" s="403"/>
      <c r="I116" s="30">
        <v>6</v>
      </c>
      <c r="J116" s="375"/>
      <c r="K116" s="376"/>
    </row>
    <row r="117" spans="2:11" ht="20.25" x14ac:dyDescent="0.2">
      <c r="B117" s="30">
        <v>7</v>
      </c>
      <c r="C117" s="375"/>
      <c r="D117" s="376"/>
      <c r="E117" s="400"/>
      <c r="F117" s="401"/>
      <c r="G117" s="404"/>
      <c r="H117" s="405"/>
      <c r="I117" s="30">
        <v>7</v>
      </c>
      <c r="J117" s="375"/>
      <c r="K117" s="376"/>
    </row>
    <row r="118" spans="2:11" ht="20.25" x14ac:dyDescent="0.2">
      <c r="B118" s="30">
        <v>8</v>
      </c>
      <c r="C118" s="375"/>
      <c r="D118" s="376"/>
      <c r="E118" s="388" t="s">
        <v>150</v>
      </c>
      <c r="F118" s="389"/>
      <c r="G118" s="390"/>
      <c r="H118" s="391"/>
      <c r="I118" s="30">
        <v>8</v>
      </c>
      <c r="J118" s="375"/>
      <c r="K118" s="376"/>
    </row>
    <row r="119" spans="2:11" ht="20.25" x14ac:dyDescent="0.2">
      <c r="B119" s="30">
        <v>9</v>
      </c>
      <c r="C119" s="375"/>
      <c r="D119" s="376"/>
      <c r="I119" s="30">
        <v>9</v>
      </c>
      <c r="J119" s="375"/>
      <c r="K119" s="376"/>
    </row>
    <row r="120" spans="2:11" ht="20.25" x14ac:dyDescent="0.2">
      <c r="B120" s="30">
        <v>10</v>
      </c>
      <c r="C120" s="375"/>
      <c r="D120" s="376"/>
      <c r="I120" s="30">
        <v>10</v>
      </c>
      <c r="J120" s="375"/>
      <c r="K120" s="376"/>
    </row>
    <row r="121" spans="2:11" ht="20.25" x14ac:dyDescent="0.2">
      <c r="B121" s="30">
        <v>11</v>
      </c>
      <c r="C121" s="375"/>
      <c r="D121" s="376"/>
      <c r="I121" s="30">
        <v>11</v>
      </c>
      <c r="J121" s="375"/>
      <c r="K121" s="376"/>
    </row>
    <row r="122" spans="2:11" ht="20.25" x14ac:dyDescent="0.2">
      <c r="B122" s="30">
        <v>12</v>
      </c>
      <c r="C122" s="375"/>
      <c r="D122" s="376"/>
      <c r="I122" s="30">
        <v>12</v>
      </c>
      <c r="J122" s="375"/>
      <c r="K122" s="376"/>
    </row>
    <row r="123" spans="2:11" ht="20.25" customHeight="1" x14ac:dyDescent="0.2">
      <c r="B123" s="30">
        <v>13</v>
      </c>
      <c r="C123" s="375"/>
      <c r="D123" s="376"/>
      <c r="I123" s="30">
        <v>13</v>
      </c>
      <c r="J123" s="375"/>
      <c r="K123" s="376"/>
    </row>
    <row r="124" spans="2:11" ht="20.25" customHeight="1" x14ac:dyDescent="0.2">
      <c r="B124" s="30">
        <v>14</v>
      </c>
      <c r="C124" s="375"/>
      <c r="D124" s="376"/>
      <c r="I124" s="30">
        <v>14</v>
      </c>
      <c r="J124" s="375"/>
      <c r="K124" s="376"/>
    </row>
    <row r="125" spans="2:11" ht="20.25" x14ac:dyDescent="0.2">
      <c r="B125" s="30">
        <v>15</v>
      </c>
      <c r="C125" s="375"/>
      <c r="D125" s="376"/>
      <c r="I125" s="30">
        <v>15</v>
      </c>
      <c r="J125" s="375"/>
      <c r="K125" s="376"/>
    </row>
    <row r="126" spans="2:11" ht="20.25" x14ac:dyDescent="0.2">
      <c r="B126" s="30">
        <v>16</v>
      </c>
      <c r="C126" s="375"/>
      <c r="D126" s="376"/>
      <c r="I126" s="30">
        <v>16</v>
      </c>
      <c r="J126" s="375"/>
      <c r="K126" s="376"/>
    </row>
    <row r="127" spans="2:11" ht="20.25" x14ac:dyDescent="0.2">
      <c r="B127" s="30" t="s">
        <v>55</v>
      </c>
      <c r="C127" s="375"/>
      <c r="D127" s="376"/>
      <c r="I127" s="30" t="s">
        <v>55</v>
      </c>
      <c r="J127" s="375"/>
      <c r="K127" s="376"/>
    </row>
    <row r="128" spans="2:11" x14ac:dyDescent="0.2">
      <c r="B128" s="377" t="s">
        <v>56</v>
      </c>
      <c r="C128" s="378"/>
    </row>
    <row r="129" spans="2:11" x14ac:dyDescent="0.2">
      <c r="B129" s="378"/>
      <c r="C129" s="378"/>
    </row>
    <row r="130" spans="2:11" x14ac:dyDescent="0.2">
      <c r="B130" s="379"/>
      <c r="C130" s="380"/>
      <c r="D130" s="380"/>
      <c r="E130" s="380"/>
      <c r="F130" s="380"/>
      <c r="G130" s="380"/>
      <c r="H130" s="380"/>
      <c r="I130" s="380"/>
      <c r="J130" s="380"/>
      <c r="K130" s="381"/>
    </row>
    <row r="131" spans="2:11" x14ac:dyDescent="0.2">
      <c r="B131" s="382"/>
      <c r="C131" s="383"/>
      <c r="D131" s="383"/>
      <c r="E131" s="383"/>
      <c r="F131" s="383"/>
      <c r="G131" s="383"/>
      <c r="H131" s="383"/>
      <c r="I131" s="383"/>
      <c r="J131" s="383"/>
      <c r="K131" s="384"/>
    </row>
    <row r="132" spans="2:11" x14ac:dyDescent="0.2">
      <c r="B132" s="382"/>
      <c r="C132" s="383"/>
      <c r="D132" s="383"/>
      <c r="E132" s="383"/>
      <c r="F132" s="383"/>
      <c r="G132" s="383"/>
      <c r="H132" s="383"/>
      <c r="I132" s="383"/>
      <c r="J132" s="383"/>
      <c r="K132" s="384"/>
    </row>
    <row r="133" spans="2:11" x14ac:dyDescent="0.2">
      <c r="B133" s="382"/>
      <c r="C133" s="383"/>
      <c r="D133" s="383"/>
      <c r="E133" s="383"/>
      <c r="F133" s="383"/>
      <c r="G133" s="383"/>
      <c r="H133" s="383"/>
      <c r="I133" s="383"/>
      <c r="J133" s="383"/>
      <c r="K133" s="384"/>
    </row>
    <row r="134" spans="2:11" x14ac:dyDescent="0.2">
      <c r="B134" s="385"/>
      <c r="C134" s="386"/>
      <c r="D134" s="386"/>
      <c r="E134" s="386"/>
      <c r="F134" s="386"/>
      <c r="G134" s="386"/>
      <c r="H134" s="386"/>
      <c r="I134" s="386"/>
      <c r="J134" s="386"/>
      <c r="K134" s="387"/>
    </row>
  </sheetData>
  <mergeCells count="174">
    <mergeCell ref="B84:K88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73:D73"/>
    <mergeCell ref="J73:K73"/>
    <mergeCell ref="C74:D74"/>
    <mergeCell ref="J74:K74"/>
    <mergeCell ref="C75:D75"/>
    <mergeCell ref="J75:K75"/>
    <mergeCell ref="C81:D81"/>
    <mergeCell ref="J81:K81"/>
    <mergeCell ref="B82:C83"/>
    <mergeCell ref="C70:D70"/>
    <mergeCell ref="E70:F71"/>
    <mergeCell ref="G70:H71"/>
    <mergeCell ref="J70:K70"/>
    <mergeCell ref="C71:D71"/>
    <mergeCell ref="J71:K71"/>
    <mergeCell ref="C72:D72"/>
    <mergeCell ref="E72:F72"/>
    <mergeCell ref="G72:H72"/>
    <mergeCell ref="J72:K72"/>
    <mergeCell ref="C67:D67"/>
    <mergeCell ref="E67:F67"/>
    <mergeCell ref="G67:H67"/>
    <mergeCell ref="J67:K67"/>
    <mergeCell ref="C68:D68"/>
    <mergeCell ref="E68:F68"/>
    <mergeCell ref="G68:H68"/>
    <mergeCell ref="J68:K68"/>
    <mergeCell ref="C69:D69"/>
    <mergeCell ref="E69:F69"/>
    <mergeCell ref="G69:H69"/>
    <mergeCell ref="J69:K69"/>
    <mergeCell ref="B61:D61"/>
    <mergeCell ref="I61:K61"/>
    <mergeCell ref="B62:D64"/>
    <mergeCell ref="F62:G63"/>
    <mergeCell ref="I62:K64"/>
    <mergeCell ref="C65:D65"/>
    <mergeCell ref="J65:K65"/>
    <mergeCell ref="C66:D66"/>
    <mergeCell ref="E66:F66"/>
    <mergeCell ref="G66:H66"/>
    <mergeCell ref="J66:K66"/>
    <mergeCell ref="I16:K16"/>
    <mergeCell ref="B17:D19"/>
    <mergeCell ref="F17:G18"/>
    <mergeCell ref="I17:K19"/>
    <mergeCell ref="C54:D54"/>
    <mergeCell ref="E54:H57"/>
    <mergeCell ref="C55:D55"/>
    <mergeCell ref="C56:D56"/>
    <mergeCell ref="C57:D57"/>
    <mergeCell ref="C20:D20"/>
    <mergeCell ref="C21:D21"/>
    <mergeCell ref="E21:F21"/>
    <mergeCell ref="G21:H21"/>
    <mergeCell ref="C22:D22"/>
    <mergeCell ref="E22:F22"/>
    <mergeCell ref="G22:H22"/>
    <mergeCell ref="C28:D28"/>
    <mergeCell ref="C29:D29"/>
    <mergeCell ref="C30:D30"/>
    <mergeCell ref="C36:D36"/>
    <mergeCell ref="J36:K36"/>
    <mergeCell ref="B37:C38"/>
    <mergeCell ref="B39:K43"/>
    <mergeCell ref="C31:D31"/>
    <mergeCell ref="C9:D9"/>
    <mergeCell ref="E9:H12"/>
    <mergeCell ref="C10:D10"/>
    <mergeCell ref="C11:D11"/>
    <mergeCell ref="C12:D12"/>
    <mergeCell ref="B16:D16"/>
    <mergeCell ref="C27:D27"/>
    <mergeCell ref="E27:F27"/>
    <mergeCell ref="G27:H27"/>
    <mergeCell ref="C23:D23"/>
    <mergeCell ref="E23:F23"/>
    <mergeCell ref="G23:H23"/>
    <mergeCell ref="C24:D24"/>
    <mergeCell ref="E24:F24"/>
    <mergeCell ref="G24:H24"/>
    <mergeCell ref="C25:D25"/>
    <mergeCell ref="E25:F26"/>
    <mergeCell ref="G25:H26"/>
    <mergeCell ref="C26:D26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100:D100"/>
    <mergeCell ref="E100:H103"/>
    <mergeCell ref="C101:D101"/>
    <mergeCell ref="C102:D102"/>
    <mergeCell ref="C103:D103"/>
    <mergeCell ref="B107:D107"/>
    <mergeCell ref="I107:K107"/>
    <mergeCell ref="B108:D110"/>
    <mergeCell ref="F108:G109"/>
    <mergeCell ref="I108:K110"/>
    <mergeCell ref="C111:D111"/>
    <mergeCell ref="J111:K111"/>
    <mergeCell ref="C112:D112"/>
    <mergeCell ref="E112:F112"/>
    <mergeCell ref="G112:H112"/>
    <mergeCell ref="J112:K112"/>
    <mergeCell ref="C113:D113"/>
    <mergeCell ref="E113:F113"/>
    <mergeCell ref="G113:H113"/>
    <mergeCell ref="J113:K113"/>
    <mergeCell ref="C114:D114"/>
    <mergeCell ref="E114:F114"/>
    <mergeCell ref="G114:H114"/>
    <mergeCell ref="J114:K114"/>
    <mergeCell ref="C115:D115"/>
    <mergeCell ref="E115:F115"/>
    <mergeCell ref="G115:H115"/>
    <mergeCell ref="J115:K115"/>
    <mergeCell ref="C116:D116"/>
    <mergeCell ref="E116:F117"/>
    <mergeCell ref="G116:H117"/>
    <mergeCell ref="J116:K116"/>
    <mergeCell ref="C117:D117"/>
    <mergeCell ref="J117:K117"/>
    <mergeCell ref="C118:D118"/>
    <mergeCell ref="E118:F118"/>
    <mergeCell ref="G118:H118"/>
    <mergeCell ref="J118:K118"/>
    <mergeCell ref="C119:D119"/>
    <mergeCell ref="J119:K119"/>
    <mergeCell ref="C120:D120"/>
    <mergeCell ref="J120:K120"/>
    <mergeCell ref="C121:D121"/>
    <mergeCell ref="J121:K121"/>
    <mergeCell ref="C127:D127"/>
    <mergeCell ref="J127:K127"/>
    <mergeCell ref="B128:C129"/>
    <mergeCell ref="B130:K134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J20:K20"/>
    <mergeCell ref="J26:K26"/>
    <mergeCell ref="J25:K25"/>
    <mergeCell ref="J24:K24"/>
    <mergeCell ref="J23:K23"/>
    <mergeCell ref="J30:K30"/>
    <mergeCell ref="J29:K29"/>
    <mergeCell ref="J28:K28"/>
    <mergeCell ref="J27:K27"/>
    <mergeCell ref="J22:K22"/>
    <mergeCell ref="J21:K21"/>
  </mergeCells>
  <pageMargins left="0.7" right="0.7" top="0.75" bottom="0.75" header="0.3" footer="0.3"/>
  <pageSetup paperSize="9" scale="74" orientation="portrait" verticalDpi="0" r:id="rId1"/>
  <rowBreaks count="2" manualBreakCount="2">
    <brk id="49" max="11" man="1"/>
    <brk id="95" max="11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A581-B555-41DB-9FEA-BE9A92AEE33C}">
  <sheetPr>
    <tabColor rgb="FFFF0000"/>
  </sheetPr>
  <dimension ref="A2:J83"/>
  <sheetViews>
    <sheetView rightToLeft="1" topLeftCell="A19" zoomScaleNormal="100" zoomScaleSheetLayoutView="89" workbookViewId="0">
      <selection activeCell="N16" sqref="N16"/>
    </sheetView>
  </sheetViews>
  <sheetFormatPr defaultRowHeight="14.25" x14ac:dyDescent="0.2"/>
  <cols>
    <col min="12" max="12" width="14.75" customWidth="1"/>
  </cols>
  <sheetData>
    <row r="2" spans="1:10" ht="15.75" x14ac:dyDescent="0.2">
      <c r="A2" s="29" t="s">
        <v>38</v>
      </c>
      <c r="B2" s="434" t="s">
        <v>39</v>
      </c>
      <c r="C2" s="434"/>
      <c r="D2" s="408" t="s">
        <v>57</v>
      </c>
      <c r="E2" s="409"/>
      <c r="F2" s="409"/>
      <c r="G2" s="409"/>
    </row>
    <row r="3" spans="1:10" ht="15.75" x14ac:dyDescent="0.2">
      <c r="A3" s="29" t="s">
        <v>54</v>
      </c>
      <c r="B3" s="434">
        <v>1</v>
      </c>
      <c r="C3" s="434"/>
      <c r="D3" s="408"/>
      <c r="E3" s="409"/>
      <c r="F3" s="409"/>
      <c r="G3" s="409"/>
    </row>
    <row r="4" spans="1:10" ht="15.75" x14ac:dyDescent="0.2">
      <c r="A4" s="29" t="s">
        <v>40</v>
      </c>
      <c r="B4" s="434" t="s">
        <v>437</v>
      </c>
      <c r="C4" s="434"/>
      <c r="D4" s="408"/>
      <c r="E4" s="409"/>
      <c r="F4" s="409"/>
      <c r="G4" s="409"/>
    </row>
    <row r="5" spans="1:10" ht="15.75" x14ac:dyDescent="0.2">
      <c r="A5" s="29" t="s">
        <v>42</v>
      </c>
      <c r="B5" s="435">
        <v>45056</v>
      </c>
      <c r="C5" s="434"/>
      <c r="D5" s="408"/>
      <c r="E5" s="409"/>
      <c r="F5" s="409"/>
      <c r="G5" s="409"/>
    </row>
    <row r="8" spans="1:10" ht="17.25" customHeight="1" x14ac:dyDescent="0.2"/>
    <row r="9" spans="1:10" ht="29.25" customHeight="1" x14ac:dyDescent="0.2">
      <c r="A9" s="412" t="s">
        <v>69</v>
      </c>
      <c r="B9" s="413"/>
      <c r="C9" s="414"/>
      <c r="H9" s="415" t="s">
        <v>70</v>
      </c>
      <c r="I9" s="416"/>
      <c r="J9" s="417"/>
    </row>
    <row r="10" spans="1:10" ht="14.25" customHeight="1" x14ac:dyDescent="0.2">
      <c r="A10" s="418" t="s">
        <v>438</v>
      </c>
      <c r="B10" s="419"/>
      <c r="C10" s="420"/>
      <c r="E10" s="436" t="s">
        <v>58</v>
      </c>
      <c r="F10" s="437"/>
      <c r="H10" s="418" t="s">
        <v>439</v>
      </c>
      <c r="I10" s="419"/>
      <c r="J10" s="420"/>
    </row>
    <row r="11" spans="1:10" ht="14.25" customHeight="1" x14ac:dyDescent="0.2">
      <c r="A11" s="421"/>
      <c r="B11" s="422"/>
      <c r="C11" s="423"/>
      <c r="E11" s="437"/>
      <c r="F11" s="437"/>
      <c r="H11" s="421"/>
      <c r="I11" s="422"/>
      <c r="J11" s="423"/>
    </row>
    <row r="12" spans="1:10" ht="14.25" customHeight="1" x14ac:dyDescent="0.2">
      <c r="A12" s="424"/>
      <c r="B12" s="425"/>
      <c r="C12" s="426"/>
      <c r="H12" s="421"/>
      <c r="I12" s="422"/>
      <c r="J12" s="423"/>
    </row>
    <row r="13" spans="1:10" ht="23.25" customHeight="1" x14ac:dyDescent="0.2">
      <c r="A13" s="30">
        <v>1</v>
      </c>
      <c r="B13" s="438">
        <v>339006</v>
      </c>
      <c r="C13" s="438"/>
      <c r="H13" s="30">
        <v>1</v>
      </c>
      <c r="I13" s="438">
        <v>348382</v>
      </c>
      <c r="J13" s="438"/>
    </row>
    <row r="14" spans="1:10" ht="23.25" customHeight="1" x14ac:dyDescent="0.3">
      <c r="A14" s="30">
        <v>2</v>
      </c>
      <c r="B14" s="438">
        <v>819871</v>
      </c>
      <c r="C14" s="438"/>
      <c r="D14" s="392" t="s">
        <v>145</v>
      </c>
      <c r="E14" s="393"/>
      <c r="F14" s="439">
        <v>6</v>
      </c>
      <c r="G14" s="439"/>
      <c r="H14" s="30">
        <v>2</v>
      </c>
      <c r="I14" s="438">
        <v>843960</v>
      </c>
      <c r="J14" s="438"/>
    </row>
    <row r="15" spans="1:10" ht="23.25" customHeight="1" x14ac:dyDescent="0.3">
      <c r="A15" s="30">
        <v>3</v>
      </c>
      <c r="B15" s="438">
        <v>476009</v>
      </c>
      <c r="C15" s="438"/>
      <c r="D15" s="392" t="s">
        <v>146</v>
      </c>
      <c r="E15" s="393"/>
      <c r="F15" s="439">
        <v>192052.2</v>
      </c>
      <c r="G15" s="439"/>
      <c r="H15" s="30">
        <v>3</v>
      </c>
      <c r="I15" s="438">
        <v>491401</v>
      </c>
      <c r="J15" s="438"/>
    </row>
    <row r="16" spans="1:10" ht="23.25" customHeight="1" x14ac:dyDescent="0.3">
      <c r="A16" s="30">
        <v>4</v>
      </c>
      <c r="B16" s="438">
        <v>813987</v>
      </c>
      <c r="C16" s="438"/>
      <c r="D16" s="392" t="s">
        <v>147</v>
      </c>
      <c r="E16" s="393"/>
      <c r="F16" s="439">
        <f>I25-B25</f>
        <v>191582</v>
      </c>
      <c r="G16" s="439"/>
      <c r="H16" s="30">
        <v>4</v>
      </c>
      <c r="I16" s="438">
        <v>845859</v>
      </c>
      <c r="J16" s="438"/>
    </row>
    <row r="17" spans="1:10" ht="23.25" customHeight="1" x14ac:dyDescent="0.3">
      <c r="A17" s="30">
        <v>5</v>
      </c>
      <c r="B17" s="438">
        <v>377021</v>
      </c>
      <c r="C17" s="438"/>
      <c r="D17" s="396" t="s">
        <v>148</v>
      </c>
      <c r="E17" s="397"/>
      <c r="F17" s="439">
        <f>F16-F15</f>
        <v>-470.20000000001164</v>
      </c>
      <c r="G17" s="439"/>
      <c r="H17" s="30">
        <v>5</v>
      </c>
      <c r="I17" s="438">
        <v>388663</v>
      </c>
      <c r="J17" s="438"/>
    </row>
    <row r="18" spans="1:10" ht="23.25" customHeight="1" x14ac:dyDescent="0.2">
      <c r="A18" s="30">
        <v>6</v>
      </c>
      <c r="B18" s="438">
        <v>691473</v>
      </c>
      <c r="C18" s="438"/>
      <c r="D18" s="398" t="s">
        <v>149</v>
      </c>
      <c r="E18" s="399"/>
      <c r="F18" s="443">
        <f>F17/F14</f>
        <v>-78.366666666668607</v>
      </c>
      <c r="G18" s="443"/>
      <c r="H18" s="30">
        <v>6</v>
      </c>
      <c r="I18" s="438">
        <v>710354</v>
      </c>
      <c r="J18" s="438"/>
    </row>
    <row r="19" spans="1:10" ht="23.25" customHeight="1" x14ac:dyDescent="0.2">
      <c r="A19" s="30">
        <v>7</v>
      </c>
      <c r="B19" s="438">
        <v>344700</v>
      </c>
      <c r="C19" s="438"/>
      <c r="D19" s="400"/>
      <c r="E19" s="401"/>
      <c r="F19" s="443"/>
      <c r="G19" s="443"/>
      <c r="H19" s="30">
        <v>7</v>
      </c>
      <c r="I19" s="438">
        <v>357855</v>
      </c>
      <c r="J19" s="438"/>
    </row>
    <row r="20" spans="1:10" ht="23.25" customHeight="1" x14ac:dyDescent="0.2">
      <c r="A20" s="30">
        <v>8</v>
      </c>
      <c r="B20" s="438">
        <v>659828</v>
      </c>
      <c r="C20" s="438"/>
      <c r="D20" s="388" t="s">
        <v>150</v>
      </c>
      <c r="E20" s="389"/>
      <c r="F20" s="440"/>
      <c r="G20" s="440"/>
      <c r="H20" s="30">
        <v>8</v>
      </c>
      <c r="I20" s="438">
        <v>686710</v>
      </c>
      <c r="J20" s="438"/>
    </row>
    <row r="21" spans="1:10" ht="23.25" customHeight="1" x14ac:dyDescent="0.2">
      <c r="A21" s="30">
        <v>9</v>
      </c>
      <c r="B21" s="438">
        <v>219214</v>
      </c>
      <c r="C21" s="438"/>
      <c r="H21" s="30">
        <v>9</v>
      </c>
      <c r="I21" s="438">
        <v>225091</v>
      </c>
      <c r="J21" s="438"/>
    </row>
    <row r="22" spans="1:10" ht="23.25" customHeight="1" x14ac:dyDescent="0.2">
      <c r="A22" s="30">
        <v>10</v>
      </c>
      <c r="B22" s="438">
        <v>540878</v>
      </c>
      <c r="C22" s="438"/>
      <c r="H22" s="30">
        <v>10</v>
      </c>
      <c r="I22" s="438">
        <v>558520</v>
      </c>
      <c r="J22" s="438"/>
    </row>
    <row r="23" spans="1:10" ht="23.25" customHeight="1" x14ac:dyDescent="0.2">
      <c r="A23" s="30">
        <v>11</v>
      </c>
      <c r="B23" s="438">
        <v>103998</v>
      </c>
      <c r="C23" s="438"/>
      <c r="H23" s="30">
        <v>11</v>
      </c>
      <c r="I23" s="438">
        <v>107631</v>
      </c>
      <c r="J23" s="438"/>
    </row>
    <row r="24" spans="1:10" ht="23.25" customHeight="1" x14ac:dyDescent="0.25">
      <c r="A24" s="30">
        <v>12</v>
      </c>
      <c r="B24" s="438">
        <v>405813</v>
      </c>
      <c r="C24" s="438"/>
      <c r="D24" s="61"/>
      <c r="H24" s="30">
        <v>12</v>
      </c>
      <c r="I24" s="438">
        <v>418954</v>
      </c>
      <c r="J24" s="438"/>
    </row>
    <row r="25" spans="1:10" ht="23.25" customHeight="1" x14ac:dyDescent="0.2">
      <c r="A25" s="30" t="s">
        <v>55</v>
      </c>
      <c r="B25" s="441">
        <f>SUM(B13:B24)</f>
        <v>5791798</v>
      </c>
      <c r="C25" s="442"/>
      <c r="H25" s="30" t="s">
        <v>55</v>
      </c>
      <c r="I25" s="441">
        <f>SUM(I13:I24)</f>
        <v>5983380</v>
      </c>
      <c r="J25" s="442"/>
    </row>
    <row r="31" spans="1:10" x14ac:dyDescent="0.2">
      <c r="A31" s="377" t="s">
        <v>56</v>
      </c>
      <c r="B31" s="378"/>
    </row>
    <row r="32" spans="1:10" x14ac:dyDescent="0.2">
      <c r="A32" s="378"/>
      <c r="B32" s="378"/>
    </row>
    <row r="33" spans="1:10" x14ac:dyDescent="0.2">
      <c r="A33" s="379"/>
      <c r="B33" s="380"/>
      <c r="C33" s="380"/>
      <c r="D33" s="380"/>
      <c r="E33" s="380"/>
      <c r="F33" s="380"/>
      <c r="G33" s="380"/>
      <c r="H33" s="380"/>
      <c r="I33" s="380"/>
      <c r="J33" s="381"/>
    </row>
    <row r="34" spans="1:10" x14ac:dyDescent="0.2">
      <c r="A34" s="382"/>
      <c r="B34" s="383"/>
      <c r="C34" s="383"/>
      <c r="D34" s="383"/>
      <c r="E34" s="383"/>
      <c r="F34" s="383"/>
      <c r="G34" s="383"/>
      <c r="H34" s="383"/>
      <c r="I34" s="383"/>
      <c r="J34" s="384"/>
    </row>
    <row r="35" spans="1:10" x14ac:dyDescent="0.2">
      <c r="A35" s="382"/>
      <c r="B35" s="383"/>
      <c r="C35" s="383"/>
      <c r="D35" s="383"/>
      <c r="E35" s="383"/>
      <c r="F35" s="383"/>
      <c r="G35" s="383"/>
      <c r="H35" s="383"/>
      <c r="I35" s="383"/>
      <c r="J35" s="384"/>
    </row>
    <row r="36" spans="1:10" x14ac:dyDescent="0.2">
      <c r="A36" s="382"/>
      <c r="B36" s="383"/>
      <c r="C36" s="383"/>
      <c r="D36" s="383"/>
      <c r="E36" s="383"/>
      <c r="F36" s="383"/>
      <c r="G36" s="383"/>
      <c r="H36" s="383"/>
      <c r="I36" s="383"/>
      <c r="J36" s="384"/>
    </row>
    <row r="37" spans="1:10" x14ac:dyDescent="0.2">
      <c r="A37" s="385"/>
      <c r="B37" s="386"/>
      <c r="C37" s="386"/>
      <c r="D37" s="386"/>
      <c r="E37" s="386"/>
      <c r="F37" s="386"/>
      <c r="G37" s="386"/>
      <c r="H37" s="386"/>
      <c r="I37" s="386"/>
      <c r="J37" s="387"/>
    </row>
    <row r="48" spans="1:10" ht="15.75" x14ac:dyDescent="0.2">
      <c r="A48" s="29" t="s">
        <v>38</v>
      </c>
      <c r="B48" s="434" t="s">
        <v>39</v>
      </c>
      <c r="C48" s="434"/>
      <c r="D48" s="408" t="s">
        <v>57</v>
      </c>
      <c r="E48" s="409"/>
      <c r="F48" s="409"/>
      <c r="G48" s="409"/>
    </row>
    <row r="49" spans="1:10" ht="15.75" x14ac:dyDescent="0.2">
      <c r="A49" s="29" t="s">
        <v>54</v>
      </c>
      <c r="B49" s="434">
        <v>1</v>
      </c>
      <c r="C49" s="434"/>
      <c r="D49" s="408"/>
      <c r="E49" s="409"/>
      <c r="F49" s="409"/>
      <c r="G49" s="409"/>
    </row>
    <row r="50" spans="1:10" ht="15.75" x14ac:dyDescent="0.2">
      <c r="A50" s="29" t="s">
        <v>40</v>
      </c>
      <c r="B50" s="434" t="s">
        <v>41</v>
      </c>
      <c r="C50" s="434"/>
      <c r="D50" s="408"/>
      <c r="E50" s="409"/>
      <c r="F50" s="409"/>
      <c r="G50" s="409"/>
    </row>
    <row r="51" spans="1:10" ht="15.75" x14ac:dyDescent="0.2">
      <c r="A51" s="29" t="s">
        <v>42</v>
      </c>
      <c r="B51" s="435"/>
      <c r="C51" s="434"/>
      <c r="D51" s="408"/>
      <c r="E51" s="409"/>
      <c r="F51" s="409"/>
      <c r="G51" s="409"/>
    </row>
    <row r="55" spans="1:10" ht="20.25" x14ac:dyDescent="0.2">
      <c r="A55" s="412" t="s">
        <v>69</v>
      </c>
      <c r="B55" s="413"/>
      <c r="C55" s="414"/>
      <c r="H55" s="415" t="s">
        <v>70</v>
      </c>
      <c r="I55" s="416"/>
      <c r="J55" s="417"/>
    </row>
    <row r="56" spans="1:10" x14ac:dyDescent="0.2">
      <c r="A56" s="418" t="s">
        <v>335</v>
      </c>
      <c r="B56" s="419"/>
      <c r="C56" s="420"/>
      <c r="E56" s="436" t="s">
        <v>58</v>
      </c>
      <c r="F56" s="437"/>
      <c r="H56" s="418" t="s">
        <v>334</v>
      </c>
      <c r="I56" s="419"/>
      <c r="J56" s="420"/>
    </row>
    <row r="57" spans="1:10" x14ac:dyDescent="0.2">
      <c r="A57" s="421"/>
      <c r="B57" s="422"/>
      <c r="C57" s="423"/>
      <c r="E57" s="437"/>
      <c r="F57" s="437"/>
      <c r="H57" s="421"/>
      <c r="I57" s="422"/>
      <c r="J57" s="423"/>
    </row>
    <row r="58" spans="1:10" x14ac:dyDescent="0.2">
      <c r="A58" s="424"/>
      <c r="B58" s="425"/>
      <c r="C58" s="426"/>
      <c r="H58" s="421"/>
      <c r="I58" s="422"/>
      <c r="J58" s="423"/>
    </row>
    <row r="59" spans="1:10" ht="23.25" x14ac:dyDescent="0.2">
      <c r="A59" s="30">
        <v>1</v>
      </c>
      <c r="B59" s="438"/>
      <c r="C59" s="438"/>
      <c r="H59" s="30">
        <v>1</v>
      </c>
      <c r="I59" s="438"/>
      <c r="J59" s="438"/>
    </row>
    <row r="60" spans="1:10" ht="23.25" x14ac:dyDescent="0.3">
      <c r="A60" s="30">
        <v>2</v>
      </c>
      <c r="B60" s="438"/>
      <c r="C60" s="438"/>
      <c r="D60" s="392" t="s">
        <v>145</v>
      </c>
      <c r="E60" s="393"/>
      <c r="F60" s="439"/>
      <c r="G60" s="439"/>
      <c r="H60" s="30">
        <v>2</v>
      </c>
      <c r="I60" s="438"/>
      <c r="J60" s="438"/>
    </row>
    <row r="61" spans="1:10" ht="23.25" x14ac:dyDescent="0.3">
      <c r="A61" s="30">
        <v>3</v>
      </c>
      <c r="B61" s="438"/>
      <c r="C61" s="438"/>
      <c r="D61" s="392" t="s">
        <v>146</v>
      </c>
      <c r="E61" s="393"/>
      <c r="F61" s="439"/>
      <c r="G61" s="439"/>
      <c r="H61" s="30">
        <v>3</v>
      </c>
      <c r="I61" s="438"/>
      <c r="J61" s="438"/>
    </row>
    <row r="62" spans="1:10" ht="23.25" x14ac:dyDescent="0.3">
      <c r="A62" s="30">
        <v>4</v>
      </c>
      <c r="B62" s="438"/>
      <c r="C62" s="438"/>
      <c r="D62" s="392" t="s">
        <v>147</v>
      </c>
      <c r="E62" s="393"/>
      <c r="F62" s="439"/>
      <c r="G62" s="439"/>
      <c r="H62" s="30">
        <v>4</v>
      </c>
      <c r="I62" s="438"/>
      <c r="J62" s="438"/>
    </row>
    <row r="63" spans="1:10" ht="23.25" x14ac:dyDescent="0.3">
      <c r="A63" s="30">
        <v>5</v>
      </c>
      <c r="B63" s="438"/>
      <c r="C63" s="438"/>
      <c r="D63" s="396" t="s">
        <v>148</v>
      </c>
      <c r="E63" s="397"/>
      <c r="F63" s="439"/>
      <c r="G63" s="439"/>
      <c r="H63" s="30">
        <v>5</v>
      </c>
      <c r="I63" s="438"/>
      <c r="J63" s="438"/>
    </row>
    <row r="64" spans="1:10" ht="23.25" x14ac:dyDescent="0.2">
      <c r="A64" s="30">
        <v>6</v>
      </c>
      <c r="B64" s="438"/>
      <c r="C64" s="438"/>
      <c r="D64" s="398" t="s">
        <v>149</v>
      </c>
      <c r="E64" s="399"/>
      <c r="F64" s="443"/>
      <c r="G64" s="443"/>
      <c r="H64" s="30">
        <v>6</v>
      </c>
      <c r="I64" s="438"/>
      <c r="J64" s="438"/>
    </row>
    <row r="65" spans="1:10" ht="23.25" x14ac:dyDescent="0.2">
      <c r="A65" s="30">
        <v>7</v>
      </c>
      <c r="B65" s="438"/>
      <c r="C65" s="438"/>
      <c r="D65" s="400"/>
      <c r="E65" s="401"/>
      <c r="F65" s="443"/>
      <c r="G65" s="443"/>
      <c r="H65" s="30">
        <v>7</v>
      </c>
      <c r="I65" s="438"/>
      <c r="J65" s="438"/>
    </row>
    <row r="66" spans="1:10" ht="23.25" x14ac:dyDescent="0.2">
      <c r="A66" s="30">
        <v>8</v>
      </c>
      <c r="B66" s="438"/>
      <c r="C66" s="438"/>
      <c r="D66" s="388" t="s">
        <v>150</v>
      </c>
      <c r="E66" s="389"/>
      <c r="F66" s="440"/>
      <c r="G66" s="440"/>
      <c r="H66" s="30">
        <v>8</v>
      </c>
      <c r="I66" s="438"/>
      <c r="J66" s="438"/>
    </row>
    <row r="67" spans="1:10" ht="23.25" x14ac:dyDescent="0.2">
      <c r="A67" s="30">
        <v>9</v>
      </c>
      <c r="B67" s="438"/>
      <c r="C67" s="438"/>
      <c r="H67" s="30">
        <v>9</v>
      </c>
      <c r="I67" s="438"/>
      <c r="J67" s="438"/>
    </row>
    <row r="68" spans="1:10" ht="23.25" x14ac:dyDescent="0.2">
      <c r="A68" s="30">
        <v>10</v>
      </c>
      <c r="B68" s="438"/>
      <c r="C68" s="438"/>
      <c r="H68" s="30">
        <v>10</v>
      </c>
      <c r="I68" s="438"/>
      <c r="J68" s="438"/>
    </row>
    <row r="69" spans="1:10" ht="23.25" x14ac:dyDescent="0.2">
      <c r="A69" s="30">
        <v>11</v>
      </c>
      <c r="B69" s="438"/>
      <c r="C69" s="438"/>
      <c r="H69" s="30">
        <v>11</v>
      </c>
      <c r="I69" s="438"/>
      <c r="J69" s="438"/>
    </row>
    <row r="70" spans="1:10" ht="23.25" x14ac:dyDescent="0.2">
      <c r="A70" s="30">
        <v>12</v>
      </c>
      <c r="B70" s="438"/>
      <c r="C70" s="438"/>
      <c r="H70" s="30">
        <v>12</v>
      </c>
      <c r="I70" s="438"/>
      <c r="J70" s="438"/>
    </row>
    <row r="71" spans="1:10" ht="23.25" x14ac:dyDescent="0.2">
      <c r="A71" s="30" t="s">
        <v>55</v>
      </c>
      <c r="B71" s="441"/>
      <c r="C71" s="442"/>
      <c r="H71" s="30" t="s">
        <v>55</v>
      </c>
      <c r="I71" s="441"/>
      <c r="J71" s="442"/>
    </row>
    <row r="77" spans="1:10" x14ac:dyDescent="0.2">
      <c r="A77" s="377" t="s">
        <v>56</v>
      </c>
      <c r="B77" s="378"/>
    </row>
    <row r="78" spans="1:10" x14ac:dyDescent="0.2">
      <c r="A78" s="378"/>
      <c r="B78" s="378"/>
    </row>
    <row r="79" spans="1:10" x14ac:dyDescent="0.2">
      <c r="A79" s="379"/>
      <c r="B79" s="380"/>
      <c r="C79" s="380"/>
      <c r="D79" s="380"/>
      <c r="E79" s="380"/>
      <c r="F79" s="380"/>
      <c r="G79" s="380"/>
      <c r="H79" s="380"/>
      <c r="I79" s="380"/>
      <c r="J79" s="381"/>
    </row>
    <row r="80" spans="1:10" x14ac:dyDescent="0.2">
      <c r="A80" s="382"/>
      <c r="B80" s="383"/>
      <c r="C80" s="383"/>
      <c r="D80" s="383"/>
      <c r="E80" s="383"/>
      <c r="F80" s="383"/>
      <c r="G80" s="383"/>
      <c r="H80" s="383"/>
      <c r="I80" s="383"/>
      <c r="J80" s="384"/>
    </row>
    <row r="81" spans="1:10" x14ac:dyDescent="0.2">
      <c r="A81" s="382"/>
      <c r="B81" s="383"/>
      <c r="C81" s="383"/>
      <c r="D81" s="383"/>
      <c r="E81" s="383"/>
      <c r="F81" s="383"/>
      <c r="G81" s="383"/>
      <c r="H81" s="383"/>
      <c r="I81" s="383"/>
      <c r="J81" s="384"/>
    </row>
    <row r="82" spans="1:10" x14ac:dyDescent="0.2">
      <c r="A82" s="382"/>
      <c r="B82" s="383"/>
      <c r="C82" s="383"/>
      <c r="D82" s="383"/>
      <c r="E82" s="383"/>
      <c r="F82" s="383"/>
      <c r="G82" s="383"/>
      <c r="H82" s="383"/>
      <c r="I82" s="383"/>
      <c r="J82" s="384"/>
    </row>
    <row r="83" spans="1:10" x14ac:dyDescent="0.2">
      <c r="A83" s="385"/>
      <c r="B83" s="386"/>
      <c r="C83" s="386"/>
      <c r="D83" s="386"/>
      <c r="E83" s="386"/>
      <c r="F83" s="386"/>
      <c r="G83" s="386"/>
      <c r="H83" s="386"/>
      <c r="I83" s="386"/>
      <c r="J83" s="387"/>
    </row>
  </sheetData>
  <mergeCells count="100">
    <mergeCell ref="B71:C71"/>
    <mergeCell ref="I71:J71"/>
    <mergeCell ref="A77:B78"/>
    <mergeCell ref="A79:J83"/>
    <mergeCell ref="B68:C68"/>
    <mergeCell ref="I68:J68"/>
    <mergeCell ref="B69:C69"/>
    <mergeCell ref="I69:J69"/>
    <mergeCell ref="B70:C70"/>
    <mergeCell ref="I70:J70"/>
    <mergeCell ref="B66:C66"/>
    <mergeCell ref="D66:E66"/>
    <mergeCell ref="F66:G66"/>
    <mergeCell ref="I66:J66"/>
    <mergeCell ref="B67:C67"/>
    <mergeCell ref="I67:J67"/>
    <mergeCell ref="B63:C63"/>
    <mergeCell ref="D63:E63"/>
    <mergeCell ref="F63:G63"/>
    <mergeCell ref="I63:J63"/>
    <mergeCell ref="B64:C64"/>
    <mergeCell ref="D64:E65"/>
    <mergeCell ref="F64:G65"/>
    <mergeCell ref="I64:J64"/>
    <mergeCell ref="B65:C65"/>
    <mergeCell ref="I65:J65"/>
    <mergeCell ref="B61:C61"/>
    <mergeCell ref="D61:E61"/>
    <mergeCell ref="F61:G61"/>
    <mergeCell ref="I61:J61"/>
    <mergeCell ref="B62:C62"/>
    <mergeCell ref="D62:E62"/>
    <mergeCell ref="F62:G62"/>
    <mergeCell ref="I62:J62"/>
    <mergeCell ref="B59:C59"/>
    <mergeCell ref="I59:J59"/>
    <mergeCell ref="B60:C60"/>
    <mergeCell ref="D60:E60"/>
    <mergeCell ref="F60:G60"/>
    <mergeCell ref="I60:J60"/>
    <mergeCell ref="A55:C55"/>
    <mergeCell ref="H55:J55"/>
    <mergeCell ref="A56:C58"/>
    <mergeCell ref="E56:F57"/>
    <mergeCell ref="H56:J58"/>
    <mergeCell ref="B48:C48"/>
    <mergeCell ref="D48:G51"/>
    <mergeCell ref="B49:C49"/>
    <mergeCell ref="B50:C50"/>
    <mergeCell ref="B51:C51"/>
    <mergeCell ref="I21:J21"/>
    <mergeCell ref="I22:J22"/>
    <mergeCell ref="D17:E17"/>
    <mergeCell ref="D18:E19"/>
    <mergeCell ref="I17:J17"/>
    <mergeCell ref="I18:J18"/>
    <mergeCell ref="I19:J19"/>
    <mergeCell ref="F17:G17"/>
    <mergeCell ref="F18:G19"/>
    <mergeCell ref="D20:E20"/>
    <mergeCell ref="A33:J37"/>
    <mergeCell ref="B23:C23"/>
    <mergeCell ref="B24:C24"/>
    <mergeCell ref="B25:C25"/>
    <mergeCell ref="I23:J23"/>
    <mergeCell ref="I24:J24"/>
    <mergeCell ref="I25:J25"/>
    <mergeCell ref="A31:B32"/>
    <mergeCell ref="B21:C21"/>
    <mergeCell ref="B22:C22"/>
    <mergeCell ref="B17:C17"/>
    <mergeCell ref="B18:C18"/>
    <mergeCell ref="B19:C19"/>
    <mergeCell ref="I15:J15"/>
    <mergeCell ref="I16:J16"/>
    <mergeCell ref="F15:G15"/>
    <mergeCell ref="F16:G16"/>
    <mergeCell ref="B20:C20"/>
    <mergeCell ref="I20:J20"/>
    <mergeCell ref="F20:G20"/>
    <mergeCell ref="D15:E15"/>
    <mergeCell ref="D16:E16"/>
    <mergeCell ref="B15:C15"/>
    <mergeCell ref="B16:C16"/>
    <mergeCell ref="H10:J12"/>
    <mergeCell ref="D14:E14"/>
    <mergeCell ref="A10:C12"/>
    <mergeCell ref="E10:F11"/>
    <mergeCell ref="B13:C13"/>
    <mergeCell ref="B14:C14"/>
    <mergeCell ref="I13:J13"/>
    <mergeCell ref="I14:J14"/>
    <mergeCell ref="F14:G14"/>
    <mergeCell ref="A9:C9"/>
    <mergeCell ref="H9:J9"/>
    <mergeCell ref="B2:C2"/>
    <mergeCell ref="D2:G5"/>
    <mergeCell ref="B3:C3"/>
    <mergeCell ref="B4:C4"/>
    <mergeCell ref="B5:C5"/>
  </mergeCells>
  <pageMargins left="0.7" right="0.7" top="0.75" bottom="0.75" header="0.3" footer="0.3"/>
  <pageSetup paperSize="9" scale="81" orientation="portrait" verticalDpi="0" r:id="rId1"/>
  <rowBreaks count="1" manualBreakCount="1">
    <brk id="45" max="10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A5B6-3272-46AF-8FE1-FDA334F8F7C0}">
  <sheetPr>
    <tabColor theme="0" tint="-0.499984740745262"/>
  </sheetPr>
  <dimension ref="B4:K27"/>
  <sheetViews>
    <sheetView rightToLeft="1" topLeftCell="A16" zoomScaleNormal="100" workbookViewId="0">
      <selection activeCell="N15" sqref="N15"/>
    </sheetView>
  </sheetViews>
  <sheetFormatPr defaultRowHeight="14.25" x14ac:dyDescent="0.2"/>
  <cols>
    <col min="6" max="6" width="12.625" customWidth="1"/>
    <col min="11" max="11" width="10" customWidth="1"/>
  </cols>
  <sheetData>
    <row r="4" spans="2:11" x14ac:dyDescent="0.2">
      <c r="B4" s="28" t="s">
        <v>128</v>
      </c>
      <c r="C4" s="444" t="s">
        <v>39</v>
      </c>
      <c r="D4" s="445"/>
    </row>
    <row r="5" spans="2:11" x14ac:dyDescent="0.2">
      <c r="B5" s="28" t="s">
        <v>54</v>
      </c>
      <c r="C5" s="444">
        <v>1</v>
      </c>
      <c r="D5" s="445"/>
    </row>
    <row r="6" spans="2:11" x14ac:dyDescent="0.2">
      <c r="B6" s="28" t="s">
        <v>40</v>
      </c>
      <c r="C6" s="444" t="s">
        <v>72</v>
      </c>
      <c r="D6" s="445"/>
      <c r="E6" s="446" t="s">
        <v>53</v>
      </c>
      <c r="F6" s="446"/>
      <c r="G6" s="446"/>
      <c r="H6" s="446"/>
    </row>
    <row r="7" spans="2:11" x14ac:dyDescent="0.2">
      <c r="B7" s="28" t="s">
        <v>42</v>
      </c>
      <c r="C7" s="447"/>
      <c r="D7" s="445"/>
      <c r="E7" s="446"/>
      <c r="F7" s="446"/>
      <c r="G7" s="446"/>
      <c r="H7" s="446"/>
    </row>
    <row r="8" spans="2:11" x14ac:dyDescent="0.2">
      <c r="B8" s="28" t="s">
        <v>71</v>
      </c>
      <c r="C8" s="444"/>
      <c r="D8" s="445"/>
      <c r="E8" s="446"/>
      <c r="F8" s="446"/>
      <c r="G8" s="446"/>
      <c r="H8" s="446"/>
    </row>
    <row r="9" spans="2:11" ht="33.75" x14ac:dyDescent="0.2">
      <c r="B9" s="45"/>
      <c r="C9" s="45"/>
      <c r="D9" s="45"/>
      <c r="E9" s="44"/>
      <c r="F9" s="44"/>
      <c r="G9" s="44"/>
      <c r="H9" s="44"/>
    </row>
    <row r="10" spans="2:11" ht="20.25" x14ac:dyDescent="0.2">
      <c r="B10" s="412" t="s">
        <v>69</v>
      </c>
      <c r="C10" s="413"/>
      <c r="D10" s="414"/>
      <c r="F10" s="448" t="s">
        <v>59</v>
      </c>
      <c r="G10" s="448"/>
      <c r="I10" s="415" t="s">
        <v>70</v>
      </c>
      <c r="J10" s="416"/>
      <c r="K10" s="417"/>
    </row>
    <row r="11" spans="2:11" ht="18" x14ac:dyDescent="0.2">
      <c r="B11" s="418" t="s">
        <v>1</v>
      </c>
      <c r="C11" s="419"/>
      <c r="D11" s="420"/>
      <c r="F11" s="46"/>
      <c r="G11" s="46"/>
      <c r="I11" s="418" t="s">
        <v>332</v>
      </c>
      <c r="J11" s="419"/>
      <c r="K11" s="420"/>
    </row>
    <row r="12" spans="2:11" ht="18" x14ac:dyDescent="0.2">
      <c r="B12" s="421"/>
      <c r="C12" s="422"/>
      <c r="D12" s="423"/>
      <c r="F12" s="46"/>
      <c r="G12" s="46"/>
      <c r="I12" s="421"/>
      <c r="J12" s="422"/>
      <c r="K12" s="423"/>
    </row>
    <row r="13" spans="2:11" x14ac:dyDescent="0.2">
      <c r="B13" s="424"/>
      <c r="C13" s="425"/>
      <c r="D13" s="426"/>
      <c r="I13" s="424"/>
      <c r="J13" s="425"/>
      <c r="K13" s="426"/>
    </row>
    <row r="14" spans="2:11" ht="25.5" x14ac:dyDescent="0.35">
      <c r="B14" s="30">
        <v>1</v>
      </c>
      <c r="C14" s="449"/>
      <c r="D14" s="449"/>
      <c r="E14" s="450" t="s">
        <v>145</v>
      </c>
      <c r="F14" s="450"/>
      <c r="G14" s="451"/>
      <c r="H14" s="451"/>
      <c r="I14" s="30">
        <v>1</v>
      </c>
      <c r="J14" s="449"/>
      <c r="K14" s="449"/>
    </row>
    <row r="15" spans="2:11" ht="25.5" x14ac:dyDescent="0.35">
      <c r="B15" s="30">
        <v>2</v>
      </c>
      <c r="C15" s="449"/>
      <c r="D15" s="449"/>
      <c r="E15" s="450" t="s">
        <v>146</v>
      </c>
      <c r="F15" s="450"/>
      <c r="G15" s="451"/>
      <c r="H15" s="451"/>
      <c r="I15" s="30">
        <v>2</v>
      </c>
      <c r="J15" s="449"/>
      <c r="K15" s="449"/>
    </row>
    <row r="16" spans="2:11" ht="25.5" x14ac:dyDescent="0.35">
      <c r="B16" s="30">
        <v>3</v>
      </c>
      <c r="C16" s="449"/>
      <c r="D16" s="449"/>
      <c r="E16" s="450" t="s">
        <v>147</v>
      </c>
      <c r="F16" s="450"/>
      <c r="G16" s="451"/>
      <c r="H16" s="451"/>
      <c r="I16" s="30">
        <v>3</v>
      </c>
      <c r="J16" s="449"/>
      <c r="K16" s="449"/>
    </row>
    <row r="17" spans="2:11" ht="25.5" x14ac:dyDescent="0.35">
      <c r="B17" s="30">
        <v>4</v>
      </c>
      <c r="C17" s="449"/>
      <c r="D17" s="449"/>
      <c r="E17" s="450" t="s">
        <v>155</v>
      </c>
      <c r="F17" s="450"/>
      <c r="G17" s="451"/>
      <c r="H17" s="451"/>
      <c r="I17" s="30">
        <v>4</v>
      </c>
      <c r="J17" s="449"/>
      <c r="K17" s="449"/>
    </row>
    <row r="18" spans="2:11" ht="15" customHeight="1" x14ac:dyDescent="0.25">
      <c r="B18" s="462" t="s">
        <v>55</v>
      </c>
      <c r="C18" s="449"/>
      <c r="D18" s="449"/>
      <c r="E18" s="463" t="s">
        <v>156</v>
      </c>
      <c r="F18" s="463"/>
      <c r="G18" s="464"/>
      <c r="H18" s="464"/>
      <c r="I18" s="462" t="s">
        <v>55</v>
      </c>
      <c r="J18" s="449"/>
      <c r="K18" s="449"/>
    </row>
    <row r="19" spans="2:11" ht="15" customHeight="1" x14ac:dyDescent="0.25">
      <c r="B19" s="462"/>
      <c r="C19" s="449"/>
      <c r="D19" s="449"/>
      <c r="E19" s="461" t="s">
        <v>157</v>
      </c>
      <c r="F19" s="461"/>
      <c r="G19" s="464"/>
      <c r="H19" s="464"/>
      <c r="I19" s="462"/>
      <c r="J19" s="449"/>
      <c r="K19" s="449"/>
    </row>
    <row r="23" spans="2:11" x14ac:dyDescent="0.2">
      <c r="B23" s="452"/>
      <c r="C23" s="453"/>
      <c r="D23" s="453"/>
      <c r="E23" s="453"/>
      <c r="F23" s="453"/>
      <c r="G23" s="453"/>
      <c r="H23" s="453"/>
      <c r="I23" s="453"/>
      <c r="J23" s="453"/>
      <c r="K23" s="454"/>
    </row>
    <row r="24" spans="2:11" x14ac:dyDescent="0.2">
      <c r="B24" s="455"/>
      <c r="C24" s="456"/>
      <c r="D24" s="456"/>
      <c r="E24" s="456"/>
      <c r="F24" s="456"/>
      <c r="G24" s="456"/>
      <c r="H24" s="456"/>
      <c r="I24" s="456"/>
      <c r="J24" s="456"/>
      <c r="K24" s="457"/>
    </row>
    <row r="25" spans="2:11" x14ac:dyDescent="0.2">
      <c r="B25" s="455"/>
      <c r="C25" s="456"/>
      <c r="D25" s="456"/>
      <c r="E25" s="456"/>
      <c r="F25" s="456"/>
      <c r="G25" s="456"/>
      <c r="H25" s="456"/>
      <c r="I25" s="456"/>
      <c r="J25" s="456"/>
      <c r="K25" s="457"/>
    </row>
    <row r="26" spans="2:11" x14ac:dyDescent="0.2">
      <c r="B26" s="455"/>
      <c r="C26" s="456"/>
      <c r="D26" s="456"/>
      <c r="E26" s="456"/>
      <c r="F26" s="456"/>
      <c r="G26" s="456"/>
      <c r="H26" s="456"/>
      <c r="I26" s="456"/>
      <c r="J26" s="456"/>
      <c r="K26" s="457"/>
    </row>
    <row r="27" spans="2:11" x14ac:dyDescent="0.2">
      <c r="B27" s="458"/>
      <c r="C27" s="459"/>
      <c r="D27" s="459"/>
      <c r="E27" s="459"/>
      <c r="F27" s="459"/>
      <c r="G27" s="459"/>
      <c r="H27" s="459"/>
      <c r="I27" s="459"/>
      <c r="J27" s="459"/>
      <c r="K27" s="460"/>
    </row>
  </sheetData>
  <mergeCells count="35">
    <mergeCell ref="B23:K27"/>
    <mergeCell ref="J18:K19"/>
    <mergeCell ref="E19:F19"/>
    <mergeCell ref="B18:B19"/>
    <mergeCell ref="C18:D19"/>
    <mergeCell ref="E18:F18"/>
    <mergeCell ref="G18:H19"/>
    <mergeCell ref="I18:I19"/>
    <mergeCell ref="C16:D16"/>
    <mergeCell ref="E16:F16"/>
    <mergeCell ref="G16:H16"/>
    <mergeCell ref="J16:K16"/>
    <mergeCell ref="C17:D17"/>
    <mergeCell ref="E17:F17"/>
    <mergeCell ref="G17:H17"/>
    <mergeCell ref="J17:K17"/>
    <mergeCell ref="C14:D14"/>
    <mergeCell ref="E14:F14"/>
    <mergeCell ref="G14:H14"/>
    <mergeCell ref="J14:K14"/>
    <mergeCell ref="C15:D15"/>
    <mergeCell ref="E15:F15"/>
    <mergeCell ref="G15:H15"/>
    <mergeCell ref="J15:K15"/>
    <mergeCell ref="B10:D10"/>
    <mergeCell ref="F10:G10"/>
    <mergeCell ref="I10:K10"/>
    <mergeCell ref="B11:D13"/>
    <mergeCell ref="I11:K13"/>
    <mergeCell ref="C4:D4"/>
    <mergeCell ref="C5:D5"/>
    <mergeCell ref="C6:D6"/>
    <mergeCell ref="E6:H8"/>
    <mergeCell ref="C7:D7"/>
    <mergeCell ref="C8:D8"/>
  </mergeCells>
  <pageMargins left="0.7" right="0.7" top="0.75" bottom="0.75" header="0.3" footer="0.3"/>
  <pageSetup paperSize="9" scale="71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2DC4-E597-49AD-B7F4-734F612B1871}">
  <sheetPr>
    <tabColor theme="4" tint="-0.499984740745262"/>
  </sheetPr>
  <dimension ref="A5:H118"/>
  <sheetViews>
    <sheetView rightToLeft="1" topLeftCell="A37" zoomScaleNormal="100" workbookViewId="0">
      <selection activeCell="J44" sqref="J44"/>
    </sheetView>
  </sheetViews>
  <sheetFormatPr defaultRowHeight="14.25" x14ac:dyDescent="0.2"/>
  <cols>
    <col min="3" max="3" width="21" customWidth="1"/>
    <col min="4" max="4" width="10.875" customWidth="1"/>
    <col min="5" max="5" width="9.625" customWidth="1"/>
    <col min="6" max="6" width="18.375" customWidth="1"/>
  </cols>
  <sheetData>
    <row r="5" spans="1:6" ht="15.75" x14ac:dyDescent="0.2">
      <c r="A5" s="466" t="s">
        <v>60</v>
      </c>
      <c r="B5" s="466"/>
      <c r="C5" s="466"/>
      <c r="D5" s="466"/>
      <c r="E5" s="466"/>
    </row>
    <row r="6" spans="1:6" x14ac:dyDescent="0.2">
      <c r="A6" s="467" t="s">
        <v>61</v>
      </c>
      <c r="B6" s="467"/>
      <c r="C6" s="467"/>
      <c r="D6" s="467"/>
      <c r="E6" s="467"/>
    </row>
    <row r="7" spans="1:6" x14ac:dyDescent="0.2">
      <c r="A7" s="467"/>
      <c r="B7" s="467"/>
      <c r="C7" s="467"/>
      <c r="D7" s="467"/>
      <c r="E7" s="467"/>
    </row>
    <row r="8" spans="1:6" ht="23.25" x14ac:dyDescent="0.25">
      <c r="A8" s="468" t="s">
        <v>62</v>
      </c>
      <c r="B8" s="468"/>
      <c r="C8" s="468"/>
      <c r="D8" s="31"/>
      <c r="E8" s="32"/>
      <c r="F8" s="33"/>
    </row>
    <row r="9" spans="1:6" ht="23.25" x14ac:dyDescent="0.2">
      <c r="A9" s="467" t="s">
        <v>303</v>
      </c>
      <c r="B9" s="467"/>
      <c r="C9" s="467"/>
      <c r="D9" s="467"/>
      <c r="E9" s="32"/>
      <c r="F9" s="33"/>
    </row>
    <row r="10" spans="1:6" ht="24" thickBot="1" x14ac:dyDescent="0.3">
      <c r="A10" s="469" t="s">
        <v>64</v>
      </c>
      <c r="B10" s="469"/>
      <c r="C10" s="469"/>
      <c r="D10" s="31"/>
      <c r="E10" s="32"/>
      <c r="F10" s="33"/>
    </row>
    <row r="11" spans="1:6" ht="18.75" thickTop="1" x14ac:dyDescent="0.2">
      <c r="A11" s="34" t="s">
        <v>0</v>
      </c>
      <c r="B11" s="35" t="s">
        <v>47</v>
      </c>
      <c r="C11" s="35" t="s">
        <v>65</v>
      </c>
      <c r="D11" s="35" t="s">
        <v>66</v>
      </c>
      <c r="E11" s="35" t="s">
        <v>1</v>
      </c>
      <c r="F11" s="36" t="s">
        <v>51</v>
      </c>
    </row>
    <row r="12" spans="1:6" ht="15" x14ac:dyDescent="0.2">
      <c r="A12" s="37">
        <v>1</v>
      </c>
      <c r="B12" s="128"/>
      <c r="C12" s="128"/>
      <c r="D12" s="128"/>
      <c r="E12" s="6"/>
      <c r="F12" s="39"/>
    </row>
    <row r="13" spans="1:6" ht="15" x14ac:dyDescent="0.2">
      <c r="A13" s="37">
        <v>2</v>
      </c>
      <c r="B13" s="128"/>
      <c r="C13" s="128"/>
      <c r="D13" s="128"/>
      <c r="E13" s="6"/>
      <c r="F13" s="39"/>
    </row>
    <row r="14" spans="1:6" ht="15" x14ac:dyDescent="0.2">
      <c r="A14" s="37">
        <v>3</v>
      </c>
      <c r="B14" s="38"/>
      <c r="C14" s="128"/>
      <c r="D14" s="128"/>
      <c r="E14" s="6"/>
      <c r="F14" s="39"/>
    </row>
    <row r="15" spans="1:6" ht="15" x14ac:dyDescent="0.2">
      <c r="A15" s="37">
        <v>4</v>
      </c>
      <c r="B15" s="38"/>
      <c r="C15" s="128"/>
      <c r="D15" s="128"/>
      <c r="E15" s="6"/>
      <c r="F15" s="39"/>
    </row>
    <row r="16" spans="1:6" ht="15" x14ac:dyDescent="0.2">
      <c r="A16" s="37">
        <v>5</v>
      </c>
      <c r="B16" s="38"/>
      <c r="C16" s="128"/>
      <c r="D16" s="128"/>
      <c r="E16" s="6"/>
      <c r="F16" s="39"/>
    </row>
    <row r="17" spans="1:8" ht="15" x14ac:dyDescent="0.2">
      <c r="A17" s="37">
        <v>6</v>
      </c>
      <c r="B17" s="38"/>
      <c r="C17" s="128"/>
      <c r="D17" s="128"/>
      <c r="E17" s="6"/>
      <c r="F17" s="39"/>
    </row>
    <row r="18" spans="1:8" ht="15" x14ac:dyDescent="0.2">
      <c r="A18" s="37">
        <v>7</v>
      </c>
      <c r="B18" s="38"/>
      <c r="C18" s="128"/>
      <c r="D18" s="128"/>
      <c r="E18" s="6"/>
      <c r="F18" s="39"/>
    </row>
    <row r="19" spans="1:8" ht="15" x14ac:dyDescent="0.2">
      <c r="A19" s="37">
        <v>8</v>
      </c>
      <c r="B19" s="38"/>
      <c r="C19" s="128"/>
      <c r="D19" s="128"/>
      <c r="E19" s="6"/>
      <c r="F19" s="39"/>
      <c r="H19" s="133"/>
    </row>
    <row r="20" spans="1:8" ht="15" x14ac:dyDescent="0.2">
      <c r="A20" s="37">
        <v>9</v>
      </c>
      <c r="B20" s="128"/>
      <c r="C20" s="40"/>
      <c r="D20" s="128"/>
      <c r="E20" s="6"/>
      <c r="F20" s="39"/>
    </row>
    <row r="21" spans="1:8" ht="15" x14ac:dyDescent="0.2">
      <c r="A21" s="37">
        <v>10</v>
      </c>
      <c r="B21" s="128"/>
      <c r="C21" s="40"/>
      <c r="D21" s="128"/>
      <c r="E21" s="6"/>
      <c r="F21" s="39"/>
    </row>
    <row r="22" spans="1:8" ht="15" x14ac:dyDescent="0.2">
      <c r="A22" s="37">
        <v>11</v>
      </c>
      <c r="B22" s="128"/>
      <c r="C22" s="40"/>
      <c r="D22" s="128"/>
      <c r="E22" s="6"/>
      <c r="F22" s="39"/>
    </row>
    <row r="23" spans="1:8" ht="15" x14ac:dyDescent="0.2">
      <c r="A23" s="37">
        <v>12</v>
      </c>
      <c r="B23" s="38"/>
      <c r="C23" s="128"/>
      <c r="D23" s="128"/>
      <c r="E23" s="6"/>
      <c r="F23" s="39"/>
    </row>
    <row r="24" spans="1:8" ht="15" x14ac:dyDescent="0.2">
      <c r="A24" s="37">
        <v>13</v>
      </c>
      <c r="B24" s="38"/>
      <c r="C24" s="128"/>
      <c r="D24" s="128"/>
      <c r="E24" s="6"/>
      <c r="F24" s="39"/>
    </row>
    <row r="25" spans="1:8" ht="15" x14ac:dyDescent="0.2">
      <c r="A25" s="37">
        <v>14</v>
      </c>
      <c r="B25" s="38"/>
      <c r="C25" s="128"/>
      <c r="D25" s="128"/>
      <c r="E25" s="6"/>
      <c r="F25" s="39"/>
    </row>
    <row r="26" spans="1:8" ht="15" x14ac:dyDescent="0.2">
      <c r="A26" s="37">
        <v>15</v>
      </c>
      <c r="B26" s="128"/>
      <c r="C26" s="128"/>
      <c r="D26" s="128"/>
      <c r="E26" s="6"/>
      <c r="F26" s="39"/>
    </row>
    <row r="27" spans="1:8" ht="15" x14ac:dyDescent="0.2">
      <c r="A27" s="37">
        <v>16</v>
      </c>
      <c r="B27" s="38"/>
      <c r="C27" s="128"/>
      <c r="D27" s="128"/>
      <c r="E27" s="6"/>
      <c r="F27" s="39"/>
    </row>
    <row r="28" spans="1:8" ht="15" x14ac:dyDescent="0.2">
      <c r="A28" s="37">
        <v>17</v>
      </c>
      <c r="B28" s="128"/>
      <c r="C28" s="128"/>
      <c r="D28" s="128"/>
      <c r="E28" s="6"/>
      <c r="F28" s="39"/>
    </row>
    <row r="29" spans="1:8" ht="15" x14ac:dyDescent="0.2">
      <c r="A29" s="37">
        <v>18</v>
      </c>
      <c r="B29" s="38"/>
      <c r="C29" s="128"/>
      <c r="D29" s="128"/>
      <c r="E29" s="6"/>
      <c r="F29" s="39"/>
    </row>
    <row r="30" spans="1:8" ht="15" x14ac:dyDescent="0.2">
      <c r="A30" s="37">
        <v>19</v>
      </c>
      <c r="B30" s="38"/>
      <c r="C30" s="128"/>
      <c r="D30" s="128"/>
      <c r="E30" s="6"/>
      <c r="F30" s="39"/>
    </row>
    <row r="31" spans="1:8" ht="15" x14ac:dyDescent="0.2">
      <c r="A31" s="37">
        <v>20</v>
      </c>
      <c r="B31" s="38"/>
      <c r="C31" s="128"/>
      <c r="D31" s="128"/>
      <c r="E31" s="6"/>
      <c r="F31" s="39"/>
    </row>
    <row r="32" spans="1:8" ht="15" x14ac:dyDescent="0.2">
      <c r="A32" s="37">
        <v>21</v>
      </c>
      <c r="B32" s="128"/>
      <c r="C32" s="128"/>
      <c r="D32" s="128"/>
      <c r="E32" s="6"/>
      <c r="F32" s="39"/>
    </row>
    <row r="33" spans="1:6" ht="15" x14ac:dyDescent="0.2">
      <c r="A33" s="37">
        <v>22</v>
      </c>
      <c r="B33" s="128"/>
      <c r="C33" s="128"/>
      <c r="D33" s="128"/>
      <c r="E33" s="6"/>
      <c r="F33" s="39"/>
    </row>
    <row r="34" spans="1:6" ht="15" x14ac:dyDescent="0.2">
      <c r="A34" s="37">
        <v>23</v>
      </c>
      <c r="B34" s="128"/>
      <c r="C34" s="128"/>
      <c r="D34" s="128"/>
      <c r="E34" s="6"/>
      <c r="F34" s="128"/>
    </row>
    <row r="35" spans="1:6" ht="15" x14ac:dyDescent="0.2">
      <c r="A35" s="37">
        <v>24</v>
      </c>
      <c r="B35" s="40"/>
      <c r="C35" s="40"/>
      <c r="D35" s="40"/>
      <c r="E35" s="41"/>
      <c r="F35" s="42"/>
    </row>
    <row r="36" spans="1:6" ht="15" x14ac:dyDescent="0.2">
      <c r="A36" s="37">
        <v>25</v>
      </c>
      <c r="B36" s="128"/>
      <c r="C36" s="128"/>
      <c r="D36" s="128"/>
      <c r="E36" s="6"/>
      <c r="F36" s="39"/>
    </row>
    <row r="37" spans="1:6" ht="15" x14ac:dyDescent="0.2">
      <c r="A37" s="37">
        <v>26</v>
      </c>
      <c r="B37" s="128"/>
      <c r="C37" s="128"/>
      <c r="D37" s="128"/>
      <c r="E37" s="6"/>
      <c r="F37" s="39"/>
    </row>
    <row r="38" spans="1:6" ht="15" x14ac:dyDescent="0.2">
      <c r="A38" s="37">
        <v>27</v>
      </c>
      <c r="B38" s="128"/>
      <c r="C38" s="128"/>
      <c r="D38" s="128"/>
      <c r="E38" s="6"/>
      <c r="F38" s="39"/>
    </row>
    <row r="39" spans="1:6" ht="15" x14ac:dyDescent="0.2">
      <c r="A39" s="37">
        <v>28</v>
      </c>
      <c r="B39" s="40"/>
      <c r="C39" s="40"/>
      <c r="D39" s="40"/>
      <c r="E39" s="6"/>
      <c r="F39" s="42"/>
    </row>
    <row r="40" spans="1:6" ht="15" x14ac:dyDescent="0.2">
      <c r="A40" s="37">
        <v>29</v>
      </c>
      <c r="B40" s="128"/>
      <c r="C40" s="40"/>
      <c r="D40" s="128"/>
      <c r="E40" s="6"/>
      <c r="F40" s="39"/>
    </row>
    <row r="41" spans="1:6" ht="15" x14ac:dyDescent="0.2">
      <c r="A41" s="37">
        <v>30</v>
      </c>
      <c r="B41" s="128"/>
      <c r="C41" s="40"/>
      <c r="D41" s="128"/>
      <c r="E41" s="6"/>
      <c r="F41" s="39"/>
    </row>
    <row r="42" spans="1:6" ht="15" x14ac:dyDescent="0.2">
      <c r="A42" s="37">
        <v>31</v>
      </c>
      <c r="B42" s="128"/>
      <c r="C42" s="128"/>
      <c r="D42" s="128"/>
      <c r="E42" s="6"/>
      <c r="F42" s="39"/>
    </row>
    <row r="43" spans="1:6" ht="15" x14ac:dyDescent="0.2">
      <c r="A43" s="37">
        <v>32</v>
      </c>
      <c r="B43" s="128"/>
      <c r="C43" s="40"/>
      <c r="D43" s="40"/>
      <c r="E43" s="41"/>
      <c r="F43" s="42"/>
    </row>
    <row r="44" spans="1:6" ht="15" x14ac:dyDescent="0.2">
      <c r="A44" s="37">
        <v>33</v>
      </c>
      <c r="B44" s="128"/>
      <c r="C44" s="128"/>
      <c r="D44" s="128"/>
      <c r="E44" s="6"/>
      <c r="F44" s="39"/>
    </row>
    <row r="45" spans="1:6" ht="15" x14ac:dyDescent="0.2">
      <c r="A45" s="37">
        <v>34</v>
      </c>
      <c r="B45" s="128"/>
      <c r="C45" s="128"/>
      <c r="D45" s="128"/>
      <c r="E45" s="6"/>
      <c r="F45" s="39"/>
    </row>
    <row r="46" spans="1:6" ht="15" x14ac:dyDescent="0.2">
      <c r="A46" s="37">
        <v>35</v>
      </c>
      <c r="B46" s="128"/>
      <c r="C46" s="128"/>
      <c r="D46" s="128"/>
      <c r="E46" s="6"/>
      <c r="F46" s="39"/>
    </row>
    <row r="47" spans="1:6" ht="15" x14ac:dyDescent="0.2">
      <c r="A47" s="37">
        <v>36</v>
      </c>
      <c r="B47" s="128"/>
      <c r="C47" s="128"/>
      <c r="D47" s="128"/>
      <c r="E47" s="6"/>
      <c r="F47" s="39"/>
    </row>
    <row r="48" spans="1:6" ht="15" x14ac:dyDescent="0.2">
      <c r="A48" s="37">
        <v>37</v>
      </c>
      <c r="B48" s="128"/>
      <c r="C48" s="128"/>
      <c r="D48" s="128"/>
      <c r="E48" s="6"/>
      <c r="F48" s="39"/>
    </row>
    <row r="49" spans="1:6" ht="15" x14ac:dyDescent="0.2">
      <c r="A49" s="37">
        <v>38</v>
      </c>
      <c r="B49" s="128"/>
      <c r="C49" s="128"/>
      <c r="D49" s="128"/>
      <c r="E49" s="6"/>
      <c r="F49" s="39"/>
    </row>
    <row r="50" spans="1:6" ht="15" x14ac:dyDescent="0.2">
      <c r="A50" s="37">
        <v>39</v>
      </c>
      <c r="B50" s="128"/>
      <c r="C50" s="128"/>
      <c r="D50" s="40"/>
      <c r="E50" s="6"/>
      <c r="F50" s="42"/>
    </row>
    <row r="51" spans="1:6" ht="15" x14ac:dyDescent="0.2">
      <c r="A51" s="37">
        <v>40</v>
      </c>
      <c r="B51" s="128"/>
      <c r="C51" s="128"/>
      <c r="D51" s="128"/>
      <c r="E51" s="6"/>
      <c r="F51" s="39"/>
    </row>
    <row r="52" spans="1:6" ht="15" x14ac:dyDescent="0.2">
      <c r="A52" s="37">
        <v>41</v>
      </c>
      <c r="B52" s="128"/>
      <c r="C52" s="128"/>
      <c r="D52" s="128"/>
      <c r="E52" s="128"/>
      <c r="F52" s="39"/>
    </row>
    <row r="53" spans="1:6" ht="15" x14ac:dyDescent="0.2">
      <c r="A53" s="37">
        <v>42</v>
      </c>
      <c r="B53" s="128"/>
      <c r="C53" s="128"/>
      <c r="D53" s="128"/>
      <c r="E53" s="128"/>
      <c r="F53" s="39"/>
    </row>
    <row r="54" spans="1:6" ht="15" x14ac:dyDescent="0.2">
      <c r="A54" s="43" t="s">
        <v>161</v>
      </c>
      <c r="B54" s="40"/>
      <c r="C54" s="40"/>
      <c r="D54" s="40"/>
      <c r="E54" s="41"/>
      <c r="F54" s="42"/>
    </row>
    <row r="55" spans="1:6" x14ac:dyDescent="0.2">
      <c r="E55" t="s">
        <v>33</v>
      </c>
    </row>
    <row r="56" spans="1:6" x14ac:dyDescent="0.2">
      <c r="A56" s="465"/>
      <c r="B56" s="465"/>
      <c r="C56" s="465"/>
      <c r="D56" s="465" t="s">
        <v>67</v>
      </c>
      <c r="E56" s="465"/>
      <c r="F56" s="465"/>
    </row>
    <row r="67" spans="1:6" ht="15.75" x14ac:dyDescent="0.2">
      <c r="A67" s="466" t="s">
        <v>60</v>
      </c>
      <c r="B67" s="466"/>
      <c r="C67" s="466"/>
      <c r="D67" s="466"/>
      <c r="E67" s="466"/>
    </row>
    <row r="68" spans="1:6" x14ac:dyDescent="0.2">
      <c r="A68" s="467" t="s">
        <v>61</v>
      </c>
      <c r="B68" s="467"/>
      <c r="C68" s="467"/>
      <c r="D68" s="467"/>
      <c r="E68" s="467"/>
    </row>
    <row r="69" spans="1:6" x14ac:dyDescent="0.2">
      <c r="A69" s="467"/>
      <c r="B69" s="467"/>
      <c r="C69" s="467"/>
      <c r="D69" s="467"/>
      <c r="E69" s="467"/>
    </row>
    <row r="70" spans="1:6" ht="23.25" x14ac:dyDescent="0.25">
      <c r="A70" s="468" t="s">
        <v>62</v>
      </c>
      <c r="B70" s="468"/>
      <c r="C70" s="468"/>
      <c r="D70" s="31"/>
      <c r="E70" s="32"/>
      <c r="F70" s="33"/>
    </row>
    <row r="71" spans="1:6" ht="23.25" x14ac:dyDescent="0.2">
      <c r="A71" s="467" t="s">
        <v>254</v>
      </c>
      <c r="B71" s="467"/>
      <c r="C71" s="467"/>
      <c r="D71" s="467"/>
      <c r="E71" s="32"/>
      <c r="F71" s="33"/>
    </row>
    <row r="72" spans="1:6" ht="24" thickBot="1" x14ac:dyDescent="0.3">
      <c r="A72" s="469" t="s">
        <v>64</v>
      </c>
      <c r="B72" s="469"/>
      <c r="C72" s="469"/>
      <c r="D72" s="31"/>
      <c r="E72" s="32"/>
      <c r="F72" s="33"/>
    </row>
    <row r="73" spans="1:6" ht="18.75" thickTop="1" x14ac:dyDescent="0.2">
      <c r="A73" s="34" t="s">
        <v>0</v>
      </c>
      <c r="B73" s="35" t="s">
        <v>47</v>
      </c>
      <c r="C73" s="35" t="s">
        <v>65</v>
      </c>
      <c r="D73" s="35" t="s">
        <v>66</v>
      </c>
      <c r="E73" s="35" t="s">
        <v>1</v>
      </c>
      <c r="F73" s="36" t="s">
        <v>51</v>
      </c>
    </row>
    <row r="74" spans="1:6" ht="15" x14ac:dyDescent="0.2">
      <c r="A74" s="37">
        <v>1</v>
      </c>
      <c r="B74" s="128"/>
      <c r="C74" s="128"/>
      <c r="D74" s="128"/>
      <c r="E74" s="6"/>
      <c r="F74" s="39"/>
    </row>
    <row r="75" spans="1:6" ht="15" x14ac:dyDescent="0.2">
      <c r="A75" s="37">
        <v>2</v>
      </c>
      <c r="B75" s="128"/>
      <c r="C75" s="128"/>
      <c r="D75" s="128"/>
      <c r="E75" s="6"/>
      <c r="F75" s="39"/>
    </row>
    <row r="76" spans="1:6" ht="15" x14ac:dyDescent="0.2">
      <c r="A76" s="37">
        <v>3</v>
      </c>
      <c r="B76" s="38"/>
      <c r="C76" s="128"/>
      <c r="D76" s="128"/>
      <c r="E76" s="6"/>
      <c r="F76" s="39"/>
    </row>
    <row r="77" spans="1:6" ht="15" x14ac:dyDescent="0.2">
      <c r="A77" s="37">
        <v>4</v>
      </c>
      <c r="B77" s="38"/>
      <c r="C77" s="128"/>
      <c r="D77" s="128"/>
      <c r="E77" s="6"/>
      <c r="F77" s="39"/>
    </row>
    <row r="78" spans="1:6" ht="15" x14ac:dyDescent="0.2">
      <c r="A78" s="37">
        <v>5</v>
      </c>
      <c r="B78" s="38"/>
      <c r="C78" s="128"/>
      <c r="D78" s="128"/>
      <c r="E78" s="6"/>
      <c r="F78" s="39"/>
    </row>
    <row r="79" spans="1:6" ht="15" x14ac:dyDescent="0.2">
      <c r="A79" s="37">
        <v>6</v>
      </c>
      <c r="B79" s="38"/>
      <c r="C79" s="128"/>
      <c r="D79" s="128"/>
      <c r="E79" s="6"/>
      <c r="F79" s="39"/>
    </row>
    <row r="80" spans="1:6" ht="15" x14ac:dyDescent="0.2">
      <c r="A80" s="37">
        <v>7</v>
      </c>
      <c r="B80" s="38"/>
      <c r="C80" s="128"/>
      <c r="D80" s="128"/>
      <c r="E80" s="6"/>
      <c r="F80" s="39"/>
    </row>
    <row r="81" spans="1:6" ht="15" x14ac:dyDescent="0.2">
      <c r="A81" s="37">
        <v>8</v>
      </c>
      <c r="B81" s="38"/>
      <c r="C81" s="128"/>
      <c r="D81" s="128"/>
      <c r="E81" s="6"/>
      <c r="F81" s="39"/>
    </row>
    <row r="82" spans="1:6" ht="15" x14ac:dyDescent="0.2">
      <c r="A82" s="37">
        <v>9</v>
      </c>
      <c r="B82" s="128"/>
      <c r="C82" s="128"/>
      <c r="D82" s="128"/>
      <c r="E82" s="6"/>
      <c r="F82" s="39"/>
    </row>
    <row r="83" spans="1:6" ht="15" x14ac:dyDescent="0.2">
      <c r="A83" s="37">
        <v>10</v>
      </c>
      <c r="B83" s="38"/>
      <c r="C83" s="128"/>
      <c r="D83" s="128"/>
      <c r="E83" s="6"/>
      <c r="F83" s="39"/>
    </row>
    <row r="84" spans="1:6" ht="15" x14ac:dyDescent="0.2">
      <c r="A84" s="37">
        <v>11</v>
      </c>
      <c r="B84" s="38"/>
      <c r="C84" s="128"/>
      <c r="D84" s="128"/>
      <c r="E84" s="6"/>
      <c r="F84" s="39"/>
    </row>
    <row r="85" spans="1:6" ht="15" x14ac:dyDescent="0.2">
      <c r="A85" s="37">
        <v>12</v>
      </c>
      <c r="B85" s="38"/>
      <c r="C85" s="128"/>
      <c r="D85" s="128"/>
      <c r="E85" s="6"/>
      <c r="F85" s="39"/>
    </row>
    <row r="86" spans="1:6" ht="15" x14ac:dyDescent="0.2">
      <c r="A86" s="37">
        <v>13</v>
      </c>
      <c r="B86" s="38"/>
      <c r="C86" s="128"/>
      <c r="D86" s="128"/>
      <c r="E86" s="6"/>
      <c r="F86" s="39"/>
    </row>
    <row r="87" spans="1:6" ht="15" x14ac:dyDescent="0.2">
      <c r="A87" s="37">
        <v>14</v>
      </c>
      <c r="B87" s="38"/>
      <c r="C87" s="128"/>
      <c r="D87" s="128"/>
      <c r="E87" s="6"/>
      <c r="F87" s="39"/>
    </row>
    <row r="88" spans="1:6" ht="15" x14ac:dyDescent="0.2">
      <c r="A88" s="37">
        <v>15</v>
      </c>
      <c r="B88" s="128"/>
      <c r="C88" s="128"/>
      <c r="D88" s="128"/>
      <c r="E88" s="6"/>
      <c r="F88" s="39"/>
    </row>
    <row r="89" spans="1:6" ht="15" x14ac:dyDescent="0.2">
      <c r="A89" s="37">
        <v>16</v>
      </c>
      <c r="B89" s="38"/>
      <c r="C89" s="128"/>
      <c r="D89" s="128"/>
      <c r="E89" s="6"/>
      <c r="F89" s="39"/>
    </row>
    <row r="90" spans="1:6" ht="15" x14ac:dyDescent="0.2">
      <c r="A90" s="37">
        <v>17</v>
      </c>
      <c r="B90" s="128"/>
      <c r="C90" s="128"/>
      <c r="D90" s="128"/>
      <c r="E90" s="6"/>
      <c r="F90" s="39"/>
    </row>
    <row r="91" spans="1:6" ht="15" x14ac:dyDescent="0.2">
      <c r="A91" s="37">
        <v>18</v>
      </c>
      <c r="B91" s="38"/>
      <c r="C91" s="128"/>
      <c r="D91" s="128"/>
      <c r="E91" s="6"/>
      <c r="F91" s="39"/>
    </row>
    <row r="92" spans="1:6" ht="15" x14ac:dyDescent="0.2">
      <c r="A92" s="37">
        <v>19</v>
      </c>
      <c r="B92" s="38"/>
      <c r="C92" s="128"/>
      <c r="D92" s="128"/>
      <c r="E92" s="6"/>
      <c r="F92" s="39"/>
    </row>
    <row r="93" spans="1:6" ht="15" x14ac:dyDescent="0.2">
      <c r="A93" s="37">
        <v>20</v>
      </c>
      <c r="B93" s="38"/>
      <c r="C93" s="128"/>
      <c r="D93" s="128"/>
      <c r="E93" s="6"/>
      <c r="F93" s="39"/>
    </row>
    <row r="94" spans="1:6" ht="15" x14ac:dyDescent="0.2">
      <c r="A94" s="37">
        <v>21</v>
      </c>
      <c r="B94" s="128"/>
      <c r="C94" s="128"/>
      <c r="D94" s="128"/>
      <c r="E94" s="6"/>
      <c r="F94" s="39"/>
    </row>
    <row r="95" spans="1:6" ht="15" x14ac:dyDescent="0.2">
      <c r="A95" s="37">
        <v>22</v>
      </c>
      <c r="B95" s="128"/>
      <c r="C95" s="128"/>
      <c r="D95" s="128"/>
      <c r="E95" s="6"/>
      <c r="F95" s="39"/>
    </row>
    <row r="96" spans="1:6" ht="15" x14ac:dyDescent="0.2">
      <c r="A96" s="37">
        <v>23</v>
      </c>
      <c r="B96" s="128"/>
      <c r="C96" s="128"/>
      <c r="D96" s="128"/>
      <c r="E96" s="6"/>
      <c r="F96" s="128"/>
    </row>
    <row r="97" spans="1:6" ht="15" x14ac:dyDescent="0.2">
      <c r="A97" s="37">
        <v>24</v>
      </c>
      <c r="B97" s="40"/>
      <c r="C97" s="40"/>
      <c r="D97" s="40"/>
      <c r="E97" s="41"/>
      <c r="F97" s="42"/>
    </row>
    <row r="98" spans="1:6" ht="15" x14ac:dyDescent="0.2">
      <c r="A98" s="37">
        <v>25</v>
      </c>
      <c r="B98" s="128"/>
      <c r="C98" s="128"/>
      <c r="D98" s="128"/>
      <c r="E98" s="6"/>
      <c r="F98" s="39"/>
    </row>
    <row r="99" spans="1:6" ht="15" x14ac:dyDescent="0.2">
      <c r="A99" s="37">
        <v>26</v>
      </c>
      <c r="B99" s="128"/>
      <c r="C99" s="128"/>
      <c r="D99" s="128"/>
      <c r="E99" s="6"/>
      <c r="F99" s="39"/>
    </row>
    <row r="100" spans="1:6" ht="15" x14ac:dyDescent="0.2">
      <c r="A100" s="37">
        <v>27</v>
      </c>
      <c r="B100" s="128"/>
      <c r="C100" s="128"/>
      <c r="D100" s="128"/>
      <c r="E100" s="6"/>
      <c r="F100" s="39"/>
    </row>
    <row r="101" spans="1:6" ht="15" x14ac:dyDescent="0.2">
      <c r="A101" s="37">
        <v>28</v>
      </c>
      <c r="B101" s="40"/>
      <c r="C101" s="40"/>
      <c r="D101" s="40"/>
      <c r="E101" s="6"/>
      <c r="F101" s="42"/>
    </row>
    <row r="102" spans="1:6" ht="15" x14ac:dyDescent="0.2">
      <c r="A102" s="37">
        <v>29</v>
      </c>
      <c r="B102" s="128"/>
      <c r="C102" s="40"/>
      <c r="D102" s="128"/>
      <c r="E102" s="6"/>
      <c r="F102" s="39"/>
    </row>
    <row r="103" spans="1:6" ht="15" x14ac:dyDescent="0.2">
      <c r="A103" s="37">
        <v>30</v>
      </c>
      <c r="B103" s="128"/>
      <c r="C103" s="40"/>
      <c r="D103" s="128"/>
      <c r="E103" s="6"/>
      <c r="F103" s="39"/>
    </row>
    <row r="104" spans="1:6" ht="15" x14ac:dyDescent="0.2">
      <c r="A104" s="37">
        <v>31</v>
      </c>
      <c r="B104" s="128"/>
      <c r="C104" s="128"/>
      <c r="D104" s="128"/>
      <c r="E104" s="6"/>
      <c r="F104" s="39"/>
    </row>
    <row r="105" spans="1:6" ht="15" x14ac:dyDescent="0.2">
      <c r="A105" s="37">
        <v>32</v>
      </c>
      <c r="B105" s="128"/>
      <c r="C105" s="40"/>
      <c r="D105" s="40"/>
      <c r="E105" s="41"/>
      <c r="F105" s="42"/>
    </row>
    <row r="106" spans="1:6" ht="15" x14ac:dyDescent="0.2">
      <c r="A106" s="37">
        <v>33</v>
      </c>
      <c r="B106" s="128"/>
      <c r="C106" s="128"/>
      <c r="D106" s="128"/>
      <c r="E106" s="6"/>
      <c r="F106" s="39"/>
    </row>
    <row r="107" spans="1:6" ht="15" x14ac:dyDescent="0.2">
      <c r="A107" s="37">
        <v>34</v>
      </c>
      <c r="B107" s="128"/>
      <c r="C107" s="128"/>
      <c r="D107" s="128"/>
      <c r="E107" s="6"/>
      <c r="F107" s="39"/>
    </row>
    <row r="108" spans="1:6" ht="15" x14ac:dyDescent="0.2">
      <c r="A108" s="37">
        <v>35</v>
      </c>
      <c r="B108" s="128"/>
      <c r="C108" s="128"/>
      <c r="D108" s="128"/>
      <c r="E108" s="6"/>
      <c r="F108" s="39"/>
    </row>
    <row r="109" spans="1:6" ht="15" x14ac:dyDescent="0.2">
      <c r="A109" s="37">
        <v>36</v>
      </c>
      <c r="B109" s="128"/>
      <c r="C109" s="128"/>
      <c r="D109" s="128"/>
      <c r="E109" s="6"/>
      <c r="F109" s="39"/>
    </row>
    <row r="110" spans="1:6" ht="15" x14ac:dyDescent="0.2">
      <c r="A110" s="37">
        <v>37</v>
      </c>
      <c r="B110" s="128"/>
      <c r="C110" s="128"/>
      <c r="D110" s="128"/>
      <c r="E110" s="6"/>
      <c r="F110" s="39"/>
    </row>
    <row r="111" spans="1:6" ht="15" x14ac:dyDescent="0.2">
      <c r="A111" s="37">
        <v>38</v>
      </c>
      <c r="B111" s="128"/>
      <c r="C111" s="128"/>
      <c r="D111" s="128"/>
      <c r="E111" s="6"/>
      <c r="F111" s="39"/>
    </row>
    <row r="112" spans="1:6" ht="15" x14ac:dyDescent="0.2">
      <c r="A112" s="37">
        <v>39</v>
      </c>
      <c r="B112" s="128"/>
      <c r="C112" s="128"/>
      <c r="D112" s="40"/>
      <c r="E112" s="6"/>
      <c r="F112" s="42"/>
    </row>
    <row r="113" spans="1:6" ht="15" x14ac:dyDescent="0.2">
      <c r="A113" s="37">
        <v>40</v>
      </c>
      <c r="B113" s="128"/>
      <c r="C113" s="128"/>
      <c r="D113" s="128"/>
      <c r="E113" s="6"/>
      <c r="F113" s="39"/>
    </row>
    <row r="114" spans="1:6" ht="15" x14ac:dyDescent="0.2">
      <c r="A114" s="37">
        <v>41</v>
      </c>
      <c r="B114" s="128"/>
      <c r="C114" s="128"/>
      <c r="D114" s="128"/>
      <c r="E114" s="128"/>
      <c r="F114" s="39"/>
    </row>
    <row r="115" spans="1:6" ht="15" x14ac:dyDescent="0.2">
      <c r="A115" s="37">
        <v>42</v>
      </c>
      <c r="B115" s="128"/>
      <c r="C115" s="128"/>
      <c r="D115" s="128"/>
      <c r="E115" s="128"/>
      <c r="F115" s="39"/>
    </row>
    <row r="116" spans="1:6" ht="15" x14ac:dyDescent="0.2">
      <c r="A116" s="43" t="s">
        <v>161</v>
      </c>
      <c r="B116" s="40"/>
      <c r="C116" s="40"/>
      <c r="D116" s="40"/>
      <c r="E116" s="41"/>
      <c r="F116" s="42"/>
    </row>
    <row r="117" spans="1:6" x14ac:dyDescent="0.2">
      <c r="E117" t="s">
        <v>33</v>
      </c>
    </row>
    <row r="118" spans="1:6" x14ac:dyDescent="0.2">
      <c r="A118" s="465"/>
      <c r="B118" s="465"/>
      <c r="C118" s="465"/>
      <c r="D118" s="465" t="s">
        <v>67</v>
      </c>
      <c r="E118" s="465"/>
      <c r="F118" s="465"/>
    </row>
  </sheetData>
  <mergeCells count="14">
    <mergeCell ref="A68:E69"/>
    <mergeCell ref="A67:E67"/>
    <mergeCell ref="A71:D71"/>
    <mergeCell ref="A72:C72"/>
    <mergeCell ref="A118:C118"/>
    <mergeCell ref="D118:F118"/>
    <mergeCell ref="A70:C70"/>
    <mergeCell ref="A56:C56"/>
    <mergeCell ref="D56:F56"/>
    <mergeCell ref="A5:E5"/>
    <mergeCell ref="A6:E7"/>
    <mergeCell ref="A8:C8"/>
    <mergeCell ref="A9:D9"/>
    <mergeCell ref="A10:C10"/>
  </mergeCells>
  <phoneticPr fontId="39" type="noConversion"/>
  <pageMargins left="0.7" right="0.7" top="0.75" bottom="0.75" header="0.3" footer="0.3"/>
  <pageSetup paperSize="9" scale="76" orientation="portrait" verticalDpi="0" r:id="rId1"/>
  <drawing r:id="rId2"/>
  <tableParts count="2"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F2EB-9727-4175-92BB-26D96B3C91C4}">
  <dimension ref="A1:J76"/>
  <sheetViews>
    <sheetView rightToLeft="1" topLeftCell="A37" zoomScaleNormal="100" workbookViewId="0">
      <selection activeCell="B19" sqref="B19:D19"/>
    </sheetView>
  </sheetViews>
  <sheetFormatPr defaultRowHeight="14.25" x14ac:dyDescent="0.2"/>
  <cols>
    <col min="10" max="10" width="9.5" customWidth="1"/>
  </cols>
  <sheetData>
    <row r="1" spans="1:10" ht="15.75" x14ac:dyDescent="0.2">
      <c r="A1" s="466" t="s">
        <v>60</v>
      </c>
      <c r="B1" s="466"/>
      <c r="C1" s="466"/>
      <c r="D1" s="466"/>
      <c r="E1" s="466"/>
    </row>
    <row r="2" spans="1:10" x14ac:dyDescent="0.2">
      <c r="A2" s="467" t="s">
        <v>61</v>
      </c>
      <c r="B2" s="467"/>
      <c r="C2" s="467"/>
      <c r="D2" s="467"/>
      <c r="E2" s="467"/>
    </row>
    <row r="3" spans="1:10" x14ac:dyDescent="0.2">
      <c r="A3" s="467"/>
      <c r="B3" s="467"/>
      <c r="C3" s="467"/>
      <c r="D3" s="467"/>
      <c r="E3" s="467"/>
    </row>
    <row r="4" spans="1:10" ht="23.25" x14ac:dyDescent="0.25">
      <c r="A4" s="468" t="s">
        <v>62</v>
      </c>
      <c r="B4" s="468"/>
      <c r="C4" s="468"/>
      <c r="D4" s="31"/>
      <c r="E4" s="32"/>
      <c r="F4" s="33"/>
    </row>
    <row r="5" spans="1:10" ht="23.25" x14ac:dyDescent="0.2">
      <c r="A5" s="467" t="s">
        <v>63</v>
      </c>
      <c r="B5" s="467"/>
      <c r="C5" s="467"/>
      <c r="D5" s="467"/>
      <c r="E5" s="32"/>
      <c r="F5" s="33"/>
    </row>
    <row r="6" spans="1:10" ht="23.25" x14ac:dyDescent="0.25">
      <c r="A6" s="468" t="s">
        <v>64</v>
      </c>
      <c r="B6" s="468"/>
      <c r="C6" s="468"/>
      <c r="D6" s="31"/>
      <c r="E6" s="32"/>
      <c r="F6" s="33"/>
    </row>
    <row r="7" spans="1:10" ht="26.25" customHeight="1" x14ac:dyDescent="0.2">
      <c r="A7" s="470" t="s">
        <v>103</v>
      </c>
      <c r="B7" s="470"/>
      <c r="C7" s="470"/>
      <c r="D7" s="470"/>
    </row>
    <row r="9" spans="1:10" x14ac:dyDescent="0.2">
      <c r="B9" s="474" t="s">
        <v>65</v>
      </c>
      <c r="C9" s="475"/>
      <c r="D9" s="475"/>
      <c r="E9" s="474" t="s">
        <v>94</v>
      </c>
      <c r="F9" s="475"/>
      <c r="G9" s="476"/>
      <c r="H9" s="474" t="s">
        <v>95</v>
      </c>
      <c r="I9" s="475"/>
      <c r="J9" s="476"/>
    </row>
    <row r="10" spans="1:10" x14ac:dyDescent="0.2">
      <c r="B10" s="477"/>
      <c r="C10" s="478"/>
      <c r="D10" s="478"/>
      <c r="E10" s="477"/>
      <c r="F10" s="478"/>
      <c r="G10" s="479"/>
      <c r="H10" s="477"/>
      <c r="I10" s="478"/>
      <c r="J10" s="479"/>
    </row>
    <row r="11" spans="1:10" x14ac:dyDescent="0.2">
      <c r="B11" s="402" t="s">
        <v>102</v>
      </c>
      <c r="C11" s="471"/>
      <c r="D11" s="471"/>
      <c r="E11" s="402"/>
      <c r="F11" s="471"/>
      <c r="G11" s="403"/>
      <c r="H11" s="402"/>
      <c r="I11" s="471"/>
      <c r="J11" s="403"/>
    </row>
    <row r="12" spans="1:10" x14ac:dyDescent="0.2">
      <c r="B12" s="404"/>
      <c r="C12" s="472"/>
      <c r="D12" s="472"/>
      <c r="E12" s="404"/>
      <c r="F12" s="472"/>
      <c r="G12" s="405"/>
      <c r="H12" s="404"/>
      <c r="I12" s="472"/>
      <c r="J12" s="405"/>
    </row>
    <row r="13" spans="1:10" x14ac:dyDescent="0.2">
      <c r="B13" s="402" t="s">
        <v>96</v>
      </c>
      <c r="C13" s="471"/>
      <c r="D13" s="471"/>
      <c r="E13" s="402"/>
      <c r="F13" s="471"/>
      <c r="G13" s="403"/>
      <c r="H13" s="402"/>
      <c r="I13" s="471"/>
      <c r="J13" s="403"/>
    </row>
    <row r="14" spans="1:10" x14ac:dyDescent="0.2">
      <c r="B14" s="404"/>
      <c r="C14" s="472"/>
      <c r="D14" s="472"/>
      <c r="E14" s="404"/>
      <c r="F14" s="472"/>
      <c r="G14" s="405"/>
      <c r="H14" s="404"/>
      <c r="I14" s="472"/>
      <c r="J14" s="405"/>
    </row>
    <row r="15" spans="1:10" x14ac:dyDescent="0.2">
      <c r="B15" s="402" t="s">
        <v>97</v>
      </c>
      <c r="C15" s="471"/>
      <c r="D15" s="471"/>
      <c r="E15" s="402"/>
      <c r="F15" s="471"/>
      <c r="G15" s="403"/>
      <c r="H15" s="402"/>
      <c r="I15" s="471"/>
      <c r="J15" s="403"/>
    </row>
    <row r="16" spans="1:10" x14ac:dyDescent="0.2">
      <c r="B16" s="404"/>
      <c r="C16" s="472"/>
      <c r="D16" s="472"/>
      <c r="E16" s="404"/>
      <c r="F16" s="472"/>
      <c r="G16" s="405"/>
      <c r="H16" s="404"/>
      <c r="I16" s="472"/>
      <c r="J16" s="405"/>
    </row>
    <row r="17" spans="2:10" ht="14.25" customHeight="1" x14ac:dyDescent="0.2">
      <c r="B17" s="481" t="s">
        <v>98</v>
      </c>
      <c r="C17" s="481"/>
      <c r="D17" s="481"/>
      <c r="E17" s="481"/>
      <c r="F17" s="481"/>
      <c r="G17" s="481"/>
      <c r="H17" s="481"/>
      <c r="I17" s="481"/>
      <c r="J17" s="481"/>
    </row>
    <row r="18" spans="2:10" ht="14.25" customHeight="1" x14ac:dyDescent="0.2">
      <c r="B18" s="482"/>
      <c r="C18" s="482"/>
      <c r="D18" s="482"/>
      <c r="E18" s="482"/>
      <c r="F18" s="482"/>
      <c r="G18" s="482"/>
      <c r="H18" s="482"/>
      <c r="I18" s="482"/>
      <c r="J18" s="482"/>
    </row>
    <row r="19" spans="2:10" ht="25.5" customHeight="1" x14ac:dyDescent="0.2">
      <c r="B19" s="483" t="s">
        <v>100</v>
      </c>
      <c r="C19" s="484"/>
      <c r="D19" s="485"/>
      <c r="E19" s="483"/>
      <c r="F19" s="484"/>
      <c r="G19" s="485"/>
      <c r="H19" s="483"/>
      <c r="I19" s="484"/>
      <c r="J19" s="485"/>
    </row>
    <row r="20" spans="2:10" x14ac:dyDescent="0.2">
      <c r="B20" s="402" t="s">
        <v>99</v>
      </c>
      <c r="C20" s="471"/>
      <c r="D20" s="471"/>
      <c r="E20" s="402"/>
      <c r="F20" s="471"/>
      <c r="G20" s="403"/>
      <c r="H20" s="402"/>
      <c r="I20" s="471"/>
      <c r="J20" s="403"/>
    </row>
    <row r="21" spans="2:10" x14ac:dyDescent="0.2">
      <c r="B21" s="404"/>
      <c r="C21" s="472"/>
      <c r="D21" s="472"/>
      <c r="E21" s="404"/>
      <c r="F21" s="472"/>
      <c r="G21" s="405"/>
      <c r="H21" s="404"/>
      <c r="I21" s="472"/>
      <c r="J21" s="405"/>
    </row>
    <row r="24" spans="2:10" ht="18" x14ac:dyDescent="0.25">
      <c r="B24" s="61" t="s">
        <v>101</v>
      </c>
      <c r="H24" s="473" t="s">
        <v>33</v>
      </c>
      <c r="I24" s="473"/>
      <c r="J24" s="473"/>
    </row>
    <row r="25" spans="2:10" x14ac:dyDescent="0.2">
      <c r="B25" s="339"/>
      <c r="C25" s="339"/>
      <c r="D25" s="339"/>
      <c r="E25" s="339"/>
      <c r="H25" s="473"/>
      <c r="I25" s="473"/>
      <c r="J25" s="473"/>
    </row>
    <row r="26" spans="2:10" x14ac:dyDescent="0.2">
      <c r="B26" s="339"/>
      <c r="C26" s="339"/>
      <c r="D26" s="339"/>
      <c r="E26" s="339"/>
    </row>
    <row r="27" spans="2:10" x14ac:dyDescent="0.2">
      <c r="B27" s="339"/>
      <c r="C27" s="339"/>
      <c r="D27" s="339"/>
      <c r="E27" s="339"/>
    </row>
    <row r="28" spans="2:10" x14ac:dyDescent="0.2">
      <c r="H28" s="480"/>
      <c r="I28" s="480"/>
      <c r="J28" s="480"/>
    </row>
    <row r="29" spans="2:10" x14ac:dyDescent="0.2">
      <c r="H29" s="480"/>
      <c r="I29" s="480"/>
      <c r="J29" s="480"/>
    </row>
    <row r="36" spans="1:10" ht="15.75" x14ac:dyDescent="0.2">
      <c r="A36" s="466" t="s">
        <v>60</v>
      </c>
      <c r="B36" s="466"/>
      <c r="C36" s="466"/>
      <c r="D36" s="466"/>
      <c r="E36" s="466"/>
    </row>
    <row r="37" spans="1:10" x14ac:dyDescent="0.2">
      <c r="A37" s="467" t="s">
        <v>61</v>
      </c>
      <c r="B37" s="467"/>
      <c r="C37" s="467"/>
      <c r="D37" s="467"/>
      <c r="E37" s="467"/>
    </row>
    <row r="38" spans="1:10" x14ac:dyDescent="0.2">
      <c r="A38" s="467"/>
      <c r="B38" s="467"/>
      <c r="C38" s="467"/>
      <c r="D38" s="467"/>
      <c r="E38" s="467"/>
    </row>
    <row r="39" spans="1:10" ht="23.25" x14ac:dyDescent="0.25">
      <c r="A39" s="468" t="s">
        <v>62</v>
      </c>
      <c r="B39" s="468"/>
      <c r="C39" s="468"/>
      <c r="D39" s="31"/>
      <c r="E39" s="32"/>
      <c r="F39" s="33"/>
    </row>
    <row r="40" spans="1:10" ht="23.25" x14ac:dyDescent="0.2">
      <c r="A40" s="467" t="s">
        <v>303</v>
      </c>
      <c r="B40" s="467"/>
      <c r="C40" s="467"/>
      <c r="D40" s="467"/>
      <c r="E40" s="32"/>
      <c r="F40" s="33"/>
    </row>
    <row r="41" spans="1:10" ht="23.25" x14ac:dyDescent="0.25">
      <c r="A41" s="468" t="s">
        <v>372</v>
      </c>
      <c r="B41" s="468"/>
      <c r="C41" s="468"/>
      <c r="D41" s="31"/>
      <c r="E41" s="32"/>
      <c r="F41" s="33"/>
    </row>
    <row r="42" spans="1:10" ht="18" x14ac:dyDescent="0.25">
      <c r="A42" s="470" t="s">
        <v>304</v>
      </c>
      <c r="B42" s="470"/>
      <c r="C42" s="470"/>
      <c r="D42" s="470"/>
      <c r="F42" s="345"/>
      <c r="G42" s="345"/>
    </row>
    <row r="44" spans="1:10" x14ac:dyDescent="0.2">
      <c r="B44" s="474" t="s">
        <v>65</v>
      </c>
      <c r="C44" s="475"/>
      <c r="D44" s="475"/>
      <c r="E44" s="474" t="s">
        <v>94</v>
      </c>
      <c r="F44" s="475"/>
      <c r="G44" s="476"/>
      <c r="H44" s="474" t="s">
        <v>95</v>
      </c>
      <c r="I44" s="475"/>
      <c r="J44" s="476"/>
    </row>
    <row r="45" spans="1:10" x14ac:dyDescent="0.2">
      <c r="B45" s="477"/>
      <c r="C45" s="478"/>
      <c r="D45" s="478"/>
      <c r="E45" s="477"/>
      <c r="F45" s="478"/>
      <c r="G45" s="479"/>
      <c r="H45" s="477"/>
      <c r="I45" s="478"/>
      <c r="J45" s="479"/>
    </row>
    <row r="46" spans="1:10" x14ac:dyDescent="0.2">
      <c r="B46" s="402"/>
      <c r="C46" s="471"/>
      <c r="D46" s="471"/>
      <c r="E46" s="402"/>
      <c r="F46" s="471"/>
      <c r="G46" s="403"/>
      <c r="H46" s="402"/>
      <c r="I46" s="471"/>
      <c r="J46" s="403"/>
    </row>
    <row r="47" spans="1:10" x14ac:dyDescent="0.2">
      <c r="B47" s="404"/>
      <c r="C47" s="472"/>
      <c r="D47" s="472"/>
      <c r="E47" s="404"/>
      <c r="F47" s="472"/>
      <c r="G47" s="405"/>
      <c r="H47" s="404"/>
      <c r="I47" s="472"/>
      <c r="J47" s="405"/>
    </row>
    <row r="48" spans="1:10" x14ac:dyDescent="0.2">
      <c r="B48" s="402"/>
      <c r="C48" s="471"/>
      <c r="D48" s="471"/>
      <c r="E48" s="402"/>
      <c r="F48" s="471"/>
      <c r="G48" s="403"/>
      <c r="H48" s="402"/>
      <c r="I48" s="471"/>
      <c r="J48" s="403"/>
    </row>
    <row r="49" spans="2:10" x14ac:dyDescent="0.2">
      <c r="B49" s="404"/>
      <c r="C49" s="472"/>
      <c r="D49" s="472"/>
      <c r="E49" s="404"/>
      <c r="F49" s="472"/>
      <c r="G49" s="405"/>
      <c r="H49" s="404"/>
      <c r="I49" s="472"/>
      <c r="J49" s="405"/>
    </row>
    <row r="50" spans="2:10" x14ac:dyDescent="0.2">
      <c r="B50" s="402"/>
      <c r="C50" s="471"/>
      <c r="D50" s="471"/>
      <c r="E50" s="402"/>
      <c r="F50" s="471"/>
      <c r="G50" s="403"/>
      <c r="H50" s="402"/>
      <c r="I50" s="471"/>
      <c r="J50" s="403"/>
    </row>
    <row r="51" spans="2:10" x14ac:dyDescent="0.2">
      <c r="B51" s="404"/>
      <c r="C51" s="472"/>
      <c r="D51" s="472"/>
      <c r="E51" s="404"/>
      <c r="F51" s="472"/>
      <c r="G51" s="405"/>
      <c r="H51" s="404"/>
      <c r="I51" s="472"/>
      <c r="J51" s="405"/>
    </row>
    <row r="52" spans="2:10" x14ac:dyDescent="0.2">
      <c r="B52" s="481"/>
      <c r="C52" s="481"/>
      <c r="D52" s="481"/>
      <c r="E52" s="481"/>
      <c r="F52" s="481"/>
      <c r="G52" s="481"/>
      <c r="H52" s="481"/>
      <c r="I52" s="481"/>
      <c r="J52" s="481"/>
    </row>
    <row r="53" spans="2:10" x14ac:dyDescent="0.2">
      <c r="B53" s="482"/>
      <c r="C53" s="482"/>
      <c r="D53" s="482"/>
      <c r="E53" s="482"/>
      <c r="F53" s="482"/>
      <c r="G53" s="482"/>
      <c r="H53" s="482"/>
      <c r="I53" s="482"/>
      <c r="J53" s="482"/>
    </row>
    <row r="54" spans="2:10" ht="23.25" customHeight="1" x14ac:dyDescent="0.2">
      <c r="B54" s="483"/>
      <c r="C54" s="484"/>
      <c r="D54" s="485"/>
      <c r="E54" s="483"/>
      <c r="F54" s="484"/>
      <c r="G54" s="485"/>
      <c r="H54" s="483"/>
      <c r="I54" s="484"/>
      <c r="J54" s="485"/>
    </row>
    <row r="55" spans="2:10" ht="19.5" customHeight="1" x14ac:dyDescent="0.2">
      <c r="B55" s="483"/>
      <c r="C55" s="484"/>
      <c r="D55" s="485"/>
      <c r="E55" s="483"/>
      <c r="F55" s="484"/>
      <c r="G55" s="485"/>
      <c r="H55" s="483"/>
      <c r="I55" s="484"/>
      <c r="J55" s="485"/>
    </row>
    <row r="56" spans="2:10" x14ac:dyDescent="0.2">
      <c r="B56" s="402"/>
      <c r="C56" s="471"/>
      <c r="D56" s="471"/>
      <c r="E56" s="402"/>
      <c r="F56" s="471"/>
      <c r="G56" s="403"/>
      <c r="H56" s="402"/>
      <c r="I56" s="471"/>
      <c r="J56" s="403"/>
    </row>
    <row r="57" spans="2:10" x14ac:dyDescent="0.2">
      <c r="B57" s="404"/>
      <c r="C57" s="472"/>
      <c r="D57" s="472"/>
      <c r="E57" s="404"/>
      <c r="F57" s="472"/>
      <c r="G57" s="405"/>
      <c r="H57" s="404"/>
      <c r="I57" s="472"/>
      <c r="J57" s="405"/>
    </row>
    <row r="60" spans="2:10" ht="18" x14ac:dyDescent="0.25">
      <c r="B60" s="61"/>
      <c r="H60" s="473"/>
      <c r="I60" s="473"/>
      <c r="J60" s="473"/>
    </row>
    <row r="61" spans="2:10" ht="14.25" customHeight="1" x14ac:dyDescent="0.2">
      <c r="B61" s="50"/>
      <c r="C61" s="50"/>
      <c r="D61" s="50"/>
      <c r="E61" s="50"/>
      <c r="H61" s="473"/>
      <c r="I61" s="473"/>
      <c r="J61" s="473"/>
    </row>
    <row r="62" spans="2:10" ht="14.25" customHeight="1" x14ac:dyDescent="0.2">
      <c r="B62" s="50"/>
      <c r="C62" s="50"/>
      <c r="D62" s="50"/>
      <c r="E62" s="50"/>
    </row>
    <row r="63" spans="2:10" ht="14.25" customHeight="1" x14ac:dyDescent="0.2">
      <c r="B63" s="50"/>
      <c r="C63" s="50"/>
      <c r="D63" s="50"/>
      <c r="E63" s="50"/>
    </row>
    <row r="64" spans="2:10" ht="15" x14ac:dyDescent="0.2">
      <c r="B64" s="50"/>
      <c r="H64" s="480"/>
      <c r="I64" s="480"/>
      <c r="J64" s="480"/>
    </row>
    <row r="65" spans="2:10" x14ac:dyDescent="0.2">
      <c r="H65" s="480"/>
      <c r="I65" s="480"/>
      <c r="J65" s="480"/>
    </row>
    <row r="66" spans="2:10" ht="15" x14ac:dyDescent="0.2">
      <c r="B66" s="50" t="s">
        <v>124</v>
      </c>
    </row>
    <row r="67" spans="2:10" ht="15" x14ac:dyDescent="0.2">
      <c r="B67" s="50"/>
    </row>
    <row r="68" spans="2:10" ht="15" x14ac:dyDescent="0.2">
      <c r="B68" s="50"/>
    </row>
    <row r="72" spans="2:10" ht="18" customHeight="1" x14ac:dyDescent="0.2">
      <c r="B72" s="486" t="s">
        <v>33</v>
      </c>
      <c r="C72" s="486"/>
      <c r="D72" s="486"/>
      <c r="E72" s="486" t="s">
        <v>126</v>
      </c>
      <c r="F72" s="486"/>
      <c r="H72" s="486" t="s">
        <v>125</v>
      </c>
      <c r="I72" s="486"/>
      <c r="J72" s="486"/>
    </row>
    <row r="73" spans="2:10" ht="14.25" customHeight="1" x14ac:dyDescent="0.2">
      <c r="B73" s="486"/>
      <c r="C73" s="486"/>
      <c r="D73" s="486"/>
      <c r="E73" s="486"/>
      <c r="F73" s="486"/>
      <c r="H73" s="486"/>
      <c r="I73" s="486"/>
      <c r="J73" s="486"/>
    </row>
    <row r="75" spans="2:10" ht="14.25" customHeight="1" x14ac:dyDescent="0.2">
      <c r="B75" s="486" t="s">
        <v>34</v>
      </c>
      <c r="C75" s="486"/>
      <c r="D75" s="486"/>
      <c r="E75" s="486" t="s">
        <v>127</v>
      </c>
      <c r="F75" s="486"/>
      <c r="H75" s="486" t="s">
        <v>278</v>
      </c>
      <c r="I75" s="486"/>
      <c r="J75" s="486"/>
    </row>
    <row r="76" spans="2:10" ht="14.25" customHeight="1" x14ac:dyDescent="0.2">
      <c r="B76" s="486"/>
      <c r="C76" s="486"/>
      <c r="D76" s="486"/>
      <c r="E76" s="486"/>
      <c r="F76" s="486"/>
      <c r="H76" s="486"/>
      <c r="I76" s="486"/>
      <c r="J76" s="486"/>
    </row>
  </sheetData>
  <mergeCells count="69">
    <mergeCell ref="H72:J73"/>
    <mergeCell ref="H75:J76"/>
    <mergeCell ref="E72:F73"/>
    <mergeCell ref="E75:F76"/>
    <mergeCell ref="B72:D73"/>
    <mergeCell ref="B75:D76"/>
    <mergeCell ref="H64:J65"/>
    <mergeCell ref="B56:D57"/>
    <mergeCell ref="E56:G57"/>
    <mergeCell ref="H56:J57"/>
    <mergeCell ref="H60:J61"/>
    <mergeCell ref="B52:D53"/>
    <mergeCell ref="E52:G53"/>
    <mergeCell ref="H52:J53"/>
    <mergeCell ref="B55:D55"/>
    <mergeCell ref="E55:G55"/>
    <mergeCell ref="H55:J55"/>
    <mergeCell ref="B54:D54"/>
    <mergeCell ref="E54:G54"/>
    <mergeCell ref="H54:J54"/>
    <mergeCell ref="B48:D49"/>
    <mergeCell ref="E48:G49"/>
    <mergeCell ref="H48:J49"/>
    <mergeCell ref="B50:D51"/>
    <mergeCell ref="E50:G51"/>
    <mergeCell ref="H50:J51"/>
    <mergeCell ref="A42:D42"/>
    <mergeCell ref="B44:D45"/>
    <mergeCell ref="E44:G45"/>
    <mergeCell ref="H44:J45"/>
    <mergeCell ref="B46:D47"/>
    <mergeCell ref="E46:G47"/>
    <mergeCell ref="H46:J47"/>
    <mergeCell ref="F42:G42"/>
    <mergeCell ref="A36:E36"/>
    <mergeCell ref="A37:E38"/>
    <mergeCell ref="A39:C39"/>
    <mergeCell ref="A40:D40"/>
    <mergeCell ref="A41:C41"/>
    <mergeCell ref="A1:E1"/>
    <mergeCell ref="A2:E3"/>
    <mergeCell ref="A4:C4"/>
    <mergeCell ref="A5:D5"/>
    <mergeCell ref="A6:C6"/>
    <mergeCell ref="H28:J29"/>
    <mergeCell ref="B25:E27"/>
    <mergeCell ref="B15:D16"/>
    <mergeCell ref="E15:G16"/>
    <mergeCell ref="H15:J16"/>
    <mergeCell ref="B17:D18"/>
    <mergeCell ref="E17:G18"/>
    <mergeCell ref="H17:J18"/>
    <mergeCell ref="B19:D19"/>
    <mergeCell ref="E19:G19"/>
    <mergeCell ref="H19:J19"/>
    <mergeCell ref="A7:D7"/>
    <mergeCell ref="B20:D21"/>
    <mergeCell ref="E20:G21"/>
    <mergeCell ref="H20:J21"/>
    <mergeCell ref="H24:J25"/>
    <mergeCell ref="H9:J10"/>
    <mergeCell ref="B11:D12"/>
    <mergeCell ref="E11:G12"/>
    <mergeCell ref="H11:J12"/>
    <mergeCell ref="B13:D14"/>
    <mergeCell ref="E13:G14"/>
    <mergeCell ref="H13:J14"/>
    <mergeCell ref="B9:D10"/>
    <mergeCell ref="E9:G10"/>
  </mergeCells>
  <pageMargins left="0.7" right="0.7" top="0.75" bottom="0.75" header="0.3" footer="0.3"/>
  <pageSetup paperSize="9" scale="8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A24C-2456-4182-8600-F9854D8F8B59}">
  <sheetPr>
    <tabColor theme="0"/>
    <pageSetUpPr fitToPage="1"/>
  </sheetPr>
  <dimension ref="B1:N31"/>
  <sheetViews>
    <sheetView rightToLeft="1" zoomScaleNormal="100" workbookViewId="0">
      <selection activeCell="K11" sqref="K11"/>
    </sheetView>
  </sheetViews>
  <sheetFormatPr defaultRowHeight="14.25" x14ac:dyDescent="0.2"/>
  <cols>
    <col min="2" max="2" width="9.625" bestFit="1" customWidth="1"/>
    <col min="3" max="3" width="14.125" customWidth="1"/>
    <col min="4" max="4" width="14" customWidth="1"/>
    <col min="5" max="5" width="11.25" customWidth="1"/>
    <col min="6" max="6" width="14" bestFit="1" customWidth="1"/>
    <col min="7" max="7" width="13.125" customWidth="1"/>
    <col min="8" max="8" width="9.875" customWidth="1"/>
    <col min="9" max="9" width="26.25" customWidth="1"/>
    <col min="10" max="10" width="14" customWidth="1"/>
    <col min="11" max="11" width="35.375" customWidth="1"/>
    <col min="12" max="12" width="21.25" customWidth="1"/>
    <col min="13" max="13" width="15.875" customWidth="1"/>
  </cols>
  <sheetData>
    <row r="1" spans="2:14" ht="30" customHeight="1" x14ac:dyDescent="0.2">
      <c r="B1" s="487" t="s">
        <v>35</v>
      </c>
      <c r="C1" s="488"/>
      <c r="D1" s="488"/>
      <c r="E1" s="488"/>
      <c r="F1" s="285"/>
      <c r="K1" s="19"/>
    </row>
    <row r="2" spans="2:14" ht="23.25" x14ac:dyDescent="0.2">
      <c r="B2" s="487" t="s">
        <v>36</v>
      </c>
      <c r="C2" s="488"/>
      <c r="D2" s="488"/>
      <c r="E2" s="488"/>
      <c r="F2" s="285"/>
      <c r="G2" s="489" t="s">
        <v>37</v>
      </c>
      <c r="H2" s="490"/>
      <c r="I2" s="490"/>
      <c r="J2" s="490"/>
      <c r="K2" s="19"/>
    </row>
    <row r="3" spans="2:14" ht="23.25" x14ac:dyDescent="0.2">
      <c r="B3" s="488"/>
      <c r="C3" s="488"/>
      <c r="D3" s="488"/>
      <c r="E3" s="488"/>
      <c r="F3" s="285"/>
      <c r="G3" s="490"/>
      <c r="H3" s="490"/>
      <c r="I3" s="490"/>
      <c r="J3" s="490"/>
    </row>
    <row r="4" spans="2:14" ht="18" x14ac:dyDescent="0.25">
      <c r="B4" s="20" t="s">
        <v>38</v>
      </c>
      <c r="C4" s="21" t="s">
        <v>123</v>
      </c>
      <c r="G4" s="490"/>
      <c r="H4" s="490"/>
      <c r="I4" s="490"/>
      <c r="J4" s="490"/>
    </row>
    <row r="5" spans="2:14" ht="18" x14ac:dyDescent="0.25">
      <c r="B5" s="20" t="s">
        <v>40</v>
      </c>
      <c r="C5" s="21" t="s">
        <v>144</v>
      </c>
    </row>
    <row r="6" spans="2:14" ht="20.25" x14ac:dyDescent="0.2">
      <c r="B6" s="20" t="s">
        <v>42</v>
      </c>
      <c r="C6" s="22" t="s">
        <v>336</v>
      </c>
      <c r="D6" s="23"/>
      <c r="E6" s="24"/>
      <c r="F6" s="24"/>
      <c r="G6" s="25"/>
      <c r="H6" s="25"/>
      <c r="I6" s="25"/>
      <c r="J6" s="25"/>
      <c r="K6" s="25"/>
      <c r="L6" s="25"/>
      <c r="M6" s="25"/>
      <c r="N6" s="25"/>
    </row>
    <row r="7" spans="2:14" ht="24" thickBot="1" x14ac:dyDescent="0.25">
      <c r="B7" s="26" t="s">
        <v>42</v>
      </c>
      <c r="C7" s="26" t="s">
        <v>44</v>
      </c>
      <c r="D7" s="26" t="s">
        <v>45</v>
      </c>
      <c r="E7" s="26" t="s">
        <v>46</v>
      </c>
      <c r="F7" s="26" t="s">
        <v>376</v>
      </c>
      <c r="G7" s="26" t="s">
        <v>47</v>
      </c>
      <c r="H7" s="26" t="s">
        <v>48</v>
      </c>
      <c r="I7" s="27" t="s">
        <v>49</v>
      </c>
      <c r="J7" s="27" t="s">
        <v>50</v>
      </c>
      <c r="K7" s="27" t="s">
        <v>51</v>
      </c>
      <c r="L7" s="27" t="s">
        <v>52</v>
      </c>
    </row>
    <row r="8" spans="2:14" ht="16.5" thickTop="1" x14ac:dyDescent="0.2">
      <c r="B8" s="286">
        <v>45053</v>
      </c>
      <c r="C8" s="287" t="s">
        <v>409</v>
      </c>
      <c r="D8" s="288" t="s">
        <v>410</v>
      </c>
      <c r="E8" s="289" t="s">
        <v>411</v>
      </c>
      <c r="F8" s="289" t="s">
        <v>412</v>
      </c>
      <c r="G8" s="289">
        <v>50</v>
      </c>
      <c r="H8" s="289" t="s">
        <v>417</v>
      </c>
      <c r="I8" s="290" t="s">
        <v>418</v>
      </c>
      <c r="J8" s="286">
        <v>45055</v>
      </c>
      <c r="K8" s="290" t="s">
        <v>419</v>
      </c>
      <c r="L8" s="145"/>
    </row>
    <row r="9" spans="2:14" ht="15.75" x14ac:dyDescent="0.2">
      <c r="B9" s="291">
        <v>45055</v>
      </c>
      <c r="C9" s="292" t="s">
        <v>420</v>
      </c>
      <c r="D9" s="293" t="s">
        <v>421</v>
      </c>
      <c r="E9" s="294" t="s">
        <v>422</v>
      </c>
      <c r="F9" s="294" t="s">
        <v>412</v>
      </c>
      <c r="G9" s="294">
        <v>21</v>
      </c>
      <c r="H9" s="295" t="s">
        <v>423</v>
      </c>
      <c r="I9" s="296"/>
      <c r="J9" s="297"/>
      <c r="K9" s="290"/>
      <c r="L9" s="144"/>
    </row>
    <row r="10" spans="2:14" ht="15.75" x14ac:dyDescent="0.2">
      <c r="B10" s="298">
        <v>45055</v>
      </c>
      <c r="C10" s="287" t="s">
        <v>424</v>
      </c>
      <c r="D10" s="288" t="s">
        <v>425</v>
      </c>
      <c r="E10" s="289" t="s">
        <v>426</v>
      </c>
      <c r="F10" s="289" t="s">
        <v>427</v>
      </c>
      <c r="G10" s="289">
        <v>30</v>
      </c>
      <c r="H10" s="295" t="s">
        <v>423</v>
      </c>
      <c r="I10" s="290"/>
      <c r="J10" s="297"/>
      <c r="K10" s="290"/>
      <c r="L10" s="145"/>
    </row>
    <row r="11" spans="2:14" ht="18" x14ac:dyDescent="0.2">
      <c r="B11" s="298">
        <v>45057</v>
      </c>
      <c r="C11" s="320" t="s">
        <v>445</v>
      </c>
      <c r="D11" s="299" t="s">
        <v>446</v>
      </c>
      <c r="E11" s="289" t="s">
        <v>447</v>
      </c>
      <c r="F11" s="289" t="s">
        <v>15</v>
      </c>
      <c r="G11" s="289">
        <v>50</v>
      </c>
      <c r="H11" s="289" t="s">
        <v>417</v>
      </c>
      <c r="I11" s="290" t="s">
        <v>488</v>
      </c>
      <c r="J11" s="291">
        <v>45064</v>
      </c>
      <c r="K11" s="290" t="s">
        <v>489</v>
      </c>
      <c r="L11" s="144"/>
    </row>
    <row r="12" spans="2:14" ht="15.75" x14ac:dyDescent="0.2">
      <c r="B12" s="300">
        <v>45061</v>
      </c>
      <c r="C12" s="301" t="s">
        <v>470</v>
      </c>
      <c r="D12" s="301" t="s">
        <v>410</v>
      </c>
      <c r="E12" s="302" t="s">
        <v>471</v>
      </c>
      <c r="F12" s="302" t="s">
        <v>427</v>
      </c>
      <c r="G12" s="302">
        <v>138</v>
      </c>
      <c r="H12" s="303" t="s">
        <v>423</v>
      </c>
      <c r="I12" s="304"/>
      <c r="J12" s="304"/>
      <c r="K12" s="305"/>
      <c r="L12" s="190"/>
    </row>
    <row r="13" spans="2:14" ht="15" x14ac:dyDescent="0.2">
      <c r="B13" s="142">
        <v>45063</v>
      </c>
      <c r="C13" s="145" t="s">
        <v>477</v>
      </c>
      <c r="D13" s="145"/>
      <c r="E13" s="145" t="s">
        <v>478</v>
      </c>
      <c r="F13" s="145" t="s">
        <v>479</v>
      </c>
      <c r="G13" s="145">
        <v>20</v>
      </c>
      <c r="H13" s="145" t="s">
        <v>417</v>
      </c>
      <c r="I13" s="145" t="s">
        <v>418</v>
      </c>
      <c r="J13" s="146" t="s">
        <v>480</v>
      </c>
      <c r="K13" s="145" t="s">
        <v>481</v>
      </c>
      <c r="L13" s="145"/>
    </row>
    <row r="14" spans="2:14" ht="15.75" x14ac:dyDescent="0.2">
      <c r="B14" s="146"/>
      <c r="C14" s="125"/>
      <c r="D14" s="144"/>
      <c r="E14" s="144"/>
      <c r="F14" s="144"/>
      <c r="G14" s="144"/>
      <c r="H14" s="77"/>
      <c r="I14" s="145"/>
      <c r="J14" s="142"/>
      <c r="K14" s="145"/>
      <c r="L14" s="145"/>
    </row>
    <row r="15" spans="2:14" ht="15.75" x14ac:dyDescent="0.2">
      <c r="B15" s="146"/>
      <c r="C15" s="75"/>
      <c r="D15" s="73"/>
      <c r="E15" s="76"/>
      <c r="F15" s="76"/>
      <c r="G15" s="76"/>
      <c r="H15" s="191"/>
      <c r="I15" s="77"/>
      <c r="J15" s="74"/>
      <c r="K15" s="144"/>
      <c r="L15" s="144"/>
    </row>
    <row r="16" spans="2:14" ht="15.75" x14ac:dyDescent="0.2">
      <c r="B16" s="146"/>
      <c r="C16" s="125"/>
      <c r="D16" s="144"/>
      <c r="E16" s="144"/>
      <c r="F16" s="144"/>
      <c r="G16" s="144"/>
      <c r="H16" s="77"/>
      <c r="I16" s="145"/>
      <c r="J16" s="142"/>
      <c r="K16" s="145"/>
      <c r="L16" s="145"/>
    </row>
    <row r="17" spans="2:12" ht="15.75" x14ac:dyDescent="0.2">
      <c r="B17" s="146"/>
      <c r="C17" s="125"/>
      <c r="D17" s="144"/>
      <c r="E17" s="144"/>
      <c r="F17" s="144"/>
      <c r="G17" s="144"/>
      <c r="H17" s="192"/>
      <c r="I17" s="145"/>
      <c r="J17" s="142"/>
      <c r="K17" s="145"/>
      <c r="L17" s="145"/>
    </row>
    <row r="18" spans="2:12" ht="15.75" x14ac:dyDescent="0.2">
      <c r="B18" s="146"/>
      <c r="C18" s="143"/>
      <c r="D18" s="141"/>
      <c r="E18" s="144"/>
      <c r="F18" s="144"/>
      <c r="G18" s="144"/>
      <c r="H18" s="77"/>
      <c r="I18" s="145"/>
      <c r="J18" s="142"/>
      <c r="K18" s="145"/>
      <c r="L18" s="145"/>
    </row>
    <row r="19" spans="2:12" ht="15.75" x14ac:dyDescent="0.2">
      <c r="B19" s="182"/>
      <c r="C19" s="183"/>
      <c r="D19" s="76"/>
      <c r="E19" s="76"/>
      <c r="F19" s="76"/>
      <c r="G19" s="76"/>
      <c r="H19" s="144"/>
      <c r="I19" s="77"/>
      <c r="J19" s="74"/>
      <c r="K19" s="77"/>
      <c r="L19" s="77"/>
    </row>
    <row r="20" spans="2:12" ht="15" x14ac:dyDescent="0.2"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</row>
    <row r="21" spans="2:12" ht="15.75" x14ac:dyDescent="0.2">
      <c r="B21" s="142"/>
      <c r="C21" s="143"/>
      <c r="D21" s="141"/>
      <c r="E21" s="144"/>
      <c r="F21" s="144"/>
      <c r="G21" s="144"/>
      <c r="H21" s="144"/>
      <c r="I21" s="145"/>
      <c r="J21" s="142"/>
      <c r="K21" s="145"/>
      <c r="L21" s="145"/>
    </row>
    <row r="22" spans="2:12" ht="15.75" x14ac:dyDescent="0.2">
      <c r="B22" s="74"/>
      <c r="C22" s="75"/>
      <c r="D22" s="73"/>
      <c r="E22" s="76"/>
      <c r="F22" s="76"/>
      <c r="G22" s="144"/>
      <c r="H22" s="183"/>
      <c r="I22" s="77"/>
      <c r="J22" s="142"/>
      <c r="K22" s="145"/>
      <c r="L22" s="145"/>
    </row>
    <row r="23" spans="2:12" ht="15.75" x14ac:dyDescent="0.2">
      <c r="B23" s="74"/>
      <c r="C23" s="75"/>
      <c r="D23" s="73"/>
      <c r="E23" s="76"/>
      <c r="F23" s="76"/>
      <c r="G23" s="144"/>
      <c r="H23" s="76"/>
      <c r="I23" s="77"/>
      <c r="J23" s="74"/>
      <c r="K23" s="77"/>
      <c r="L23" s="77"/>
    </row>
    <row r="24" spans="2:12" ht="15.75" x14ac:dyDescent="0.2">
      <c r="B24" s="74"/>
      <c r="C24" s="75"/>
      <c r="D24" s="73"/>
      <c r="E24" s="76"/>
      <c r="F24" s="76"/>
      <c r="G24" s="76"/>
      <c r="H24" s="76"/>
      <c r="I24" s="77"/>
      <c r="J24" s="74"/>
      <c r="K24" s="77"/>
      <c r="L24" s="77"/>
    </row>
    <row r="25" spans="2:12" ht="15.75" x14ac:dyDescent="0.2">
      <c r="B25" s="74"/>
      <c r="C25" s="75"/>
      <c r="D25" s="73"/>
      <c r="E25" s="76"/>
      <c r="F25" s="76"/>
      <c r="G25" s="76"/>
      <c r="H25" s="76"/>
      <c r="I25" s="77"/>
      <c r="J25" s="74"/>
      <c r="K25" s="77"/>
      <c r="L25" s="77"/>
    </row>
    <row r="26" spans="2:12" ht="15.75" x14ac:dyDescent="0.2">
      <c r="B26" s="74"/>
      <c r="C26" s="75"/>
      <c r="D26" s="73"/>
      <c r="E26" s="76"/>
      <c r="F26" s="76"/>
      <c r="G26" s="76"/>
      <c r="H26" s="76"/>
      <c r="I26" s="77"/>
      <c r="J26" s="74"/>
      <c r="K26" s="77"/>
      <c r="L26" s="77"/>
    </row>
    <row r="27" spans="2:12" ht="15.75" x14ac:dyDescent="0.2">
      <c r="B27" s="74"/>
      <c r="C27" s="75"/>
      <c r="D27" s="73"/>
      <c r="E27" s="76"/>
      <c r="F27" s="76"/>
      <c r="G27" s="76"/>
      <c r="H27" s="76"/>
      <c r="I27" s="77"/>
      <c r="J27" s="74"/>
      <c r="K27" s="77"/>
      <c r="L27" s="77"/>
    </row>
    <row r="28" spans="2:12" ht="15.75" x14ac:dyDescent="0.2">
      <c r="B28" s="74"/>
      <c r="C28" s="75"/>
      <c r="D28" s="73"/>
      <c r="E28" s="76"/>
      <c r="F28" s="76"/>
      <c r="G28" s="76"/>
      <c r="H28" s="76"/>
      <c r="I28" s="77"/>
      <c r="J28" s="74"/>
      <c r="K28" s="77"/>
      <c r="L28" s="77"/>
    </row>
    <row r="29" spans="2:12" ht="15.75" x14ac:dyDescent="0.2">
      <c r="B29" s="74"/>
      <c r="C29" s="75"/>
      <c r="D29" s="73"/>
      <c r="E29" s="76"/>
      <c r="F29" s="76"/>
      <c r="G29" s="76"/>
      <c r="H29" s="76"/>
      <c r="I29" s="77"/>
      <c r="J29" s="74"/>
      <c r="K29" s="77"/>
      <c r="L29" s="77"/>
    </row>
    <row r="30" spans="2:12" ht="15.75" x14ac:dyDescent="0.2">
      <c r="B30" s="74"/>
      <c r="C30" s="75"/>
      <c r="D30" s="73"/>
      <c r="E30" s="76"/>
      <c r="F30" s="76"/>
      <c r="G30" s="76"/>
      <c r="H30" s="76"/>
      <c r="I30" s="77"/>
      <c r="J30" s="74"/>
      <c r="K30" s="77"/>
      <c r="L30" s="77"/>
    </row>
    <row r="31" spans="2:12" ht="15.75" x14ac:dyDescent="0.2">
      <c r="B31" s="74"/>
      <c r="C31" s="75"/>
      <c r="D31" s="73"/>
      <c r="E31" s="76"/>
      <c r="F31" s="76"/>
      <c r="G31" s="76"/>
      <c r="H31" s="76"/>
      <c r="I31" s="77"/>
      <c r="J31" s="74"/>
      <c r="K31" s="77"/>
      <c r="L31" s="77"/>
    </row>
  </sheetData>
  <mergeCells count="3">
    <mergeCell ref="B1:E1"/>
    <mergeCell ref="B2:E3"/>
    <mergeCell ref="G2:J4"/>
  </mergeCells>
  <phoneticPr fontId="39" type="noConversion"/>
  <pageMargins left="0.7" right="0.7" top="0.75" bottom="0.75" header="0.3" footer="0.3"/>
  <pageSetup paperSize="9" scale="65" fitToHeight="0" orientation="landscape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A583-F569-4139-BF42-B052DACAFEE9}">
  <sheetPr>
    <tabColor theme="4" tint="-0.249977111117893"/>
    <pageSetUpPr fitToPage="1"/>
  </sheetPr>
  <dimension ref="A3:P118"/>
  <sheetViews>
    <sheetView rightToLeft="1" topLeftCell="A96" zoomScaleNormal="100" workbookViewId="0">
      <selection activeCell="O52" sqref="O52:P52"/>
    </sheetView>
  </sheetViews>
  <sheetFormatPr defaultRowHeight="14.25" x14ac:dyDescent="0.2"/>
  <cols>
    <col min="1" max="1" width="10.625" customWidth="1"/>
    <col min="6" max="6" width="4.625" customWidth="1"/>
    <col min="7" max="7" width="8" customWidth="1"/>
    <col min="10" max="10" width="11.5" customWidth="1"/>
    <col min="13" max="13" width="6.25" customWidth="1"/>
  </cols>
  <sheetData>
    <row r="3" spans="1:16" ht="15.75" x14ac:dyDescent="0.2">
      <c r="A3" s="32" t="s">
        <v>73</v>
      </c>
      <c r="B3" s="32"/>
      <c r="C3" s="32"/>
    </row>
    <row r="4" spans="1:16" ht="60.75" x14ac:dyDescent="0.2">
      <c r="A4" s="499" t="s">
        <v>72</v>
      </c>
      <c r="B4" s="499"/>
      <c r="C4" s="499"/>
      <c r="E4" s="48"/>
      <c r="F4" s="47"/>
      <c r="G4" s="500" t="s">
        <v>85</v>
      </c>
      <c r="H4" s="501"/>
      <c r="I4" s="501"/>
      <c r="J4" s="502"/>
    </row>
    <row r="5" spans="1:16" ht="15.75" x14ac:dyDescent="0.2">
      <c r="A5" s="499" t="s">
        <v>36</v>
      </c>
      <c r="B5" s="499"/>
      <c r="C5" s="499"/>
      <c r="E5" s="47"/>
      <c r="F5" s="47"/>
      <c r="G5" s="503"/>
      <c r="H5" s="504"/>
      <c r="I5" s="504"/>
      <c r="J5" s="505"/>
    </row>
    <row r="6" spans="1:16" x14ac:dyDescent="0.2">
      <c r="A6" s="345" t="s">
        <v>371</v>
      </c>
      <c r="B6" s="345"/>
      <c r="C6" s="345"/>
    </row>
    <row r="7" spans="1:16" x14ac:dyDescent="0.2">
      <c r="A7" s="345"/>
      <c r="B7" s="345"/>
      <c r="C7" s="345"/>
    </row>
    <row r="9" spans="1:16" ht="43.5" customHeight="1" x14ac:dyDescent="0.2">
      <c r="A9" s="57" t="s">
        <v>88</v>
      </c>
      <c r="B9" s="506" t="s">
        <v>86</v>
      </c>
      <c r="C9" s="506"/>
      <c r="D9" s="57"/>
      <c r="E9" s="506" t="s">
        <v>80</v>
      </c>
      <c r="F9" s="506"/>
      <c r="G9" s="57"/>
      <c r="H9" s="506" t="s">
        <v>87</v>
      </c>
      <c r="I9" s="506"/>
      <c r="J9" s="506"/>
      <c r="K9" s="57"/>
      <c r="L9" s="506" t="s">
        <v>89</v>
      </c>
      <c r="M9" s="506"/>
      <c r="N9" s="57"/>
      <c r="O9" s="506" t="s">
        <v>302</v>
      </c>
      <c r="P9" s="506"/>
    </row>
    <row r="10" spans="1:16" ht="36.75" customHeight="1" x14ac:dyDescent="0.2">
      <c r="A10" s="56">
        <v>1</v>
      </c>
      <c r="B10" s="493"/>
      <c r="C10" s="493"/>
      <c r="D10" s="497"/>
      <c r="E10" s="494">
        <v>91</v>
      </c>
      <c r="F10" s="494"/>
      <c r="G10" s="497" t="s">
        <v>21</v>
      </c>
      <c r="H10" s="492"/>
      <c r="I10" s="492"/>
      <c r="J10" s="492"/>
      <c r="K10" s="497" t="s">
        <v>299</v>
      </c>
      <c r="L10" s="495"/>
      <c r="M10" s="496"/>
      <c r="N10" s="497" t="s">
        <v>299</v>
      </c>
      <c r="O10" s="495"/>
      <c r="P10" s="496"/>
    </row>
    <row r="11" spans="1:16" ht="36.75" customHeight="1" x14ac:dyDescent="0.2">
      <c r="A11" s="56">
        <v>2</v>
      </c>
      <c r="B11" s="493"/>
      <c r="C11" s="493"/>
      <c r="D11" s="498"/>
      <c r="E11" s="494">
        <v>91</v>
      </c>
      <c r="F11" s="494"/>
      <c r="G11" s="498"/>
      <c r="H11" s="492"/>
      <c r="I11" s="492"/>
      <c r="J11" s="492"/>
      <c r="K11" s="498"/>
      <c r="L11" s="495"/>
      <c r="M11" s="496"/>
      <c r="N11" s="498"/>
      <c r="O11" s="495"/>
      <c r="P11" s="496"/>
    </row>
    <row r="12" spans="1:16" ht="36.75" customHeight="1" x14ac:dyDescent="0.2">
      <c r="A12" s="56">
        <v>3</v>
      </c>
      <c r="B12" s="493"/>
      <c r="C12" s="493"/>
      <c r="D12" s="498"/>
      <c r="E12" s="494">
        <v>91</v>
      </c>
      <c r="F12" s="494"/>
      <c r="G12" s="498"/>
      <c r="H12" s="492"/>
      <c r="I12" s="492"/>
      <c r="J12" s="492"/>
      <c r="K12" s="498"/>
      <c r="L12" s="495"/>
      <c r="M12" s="496"/>
      <c r="N12" s="498"/>
      <c r="O12" s="495"/>
      <c r="P12" s="496"/>
    </row>
    <row r="13" spans="1:16" ht="36.75" customHeight="1" x14ac:dyDescent="0.2">
      <c r="A13" s="56">
        <v>4</v>
      </c>
      <c r="B13" s="493"/>
      <c r="C13" s="493"/>
      <c r="D13" s="498"/>
      <c r="E13" s="494">
        <v>91</v>
      </c>
      <c r="F13" s="494"/>
      <c r="G13" s="498"/>
      <c r="H13" s="492"/>
      <c r="I13" s="492"/>
      <c r="J13" s="492"/>
      <c r="K13" s="498"/>
      <c r="L13" s="495"/>
      <c r="M13" s="496"/>
      <c r="N13" s="498"/>
      <c r="O13" s="495"/>
      <c r="P13" s="496"/>
    </row>
    <row r="14" spans="1:16" ht="36.75" customHeight="1" x14ac:dyDescent="0.2">
      <c r="A14" s="56">
        <v>5</v>
      </c>
      <c r="B14" s="493"/>
      <c r="C14" s="493"/>
      <c r="D14" s="498"/>
      <c r="E14" s="494">
        <v>91</v>
      </c>
      <c r="F14" s="494"/>
      <c r="G14" s="498"/>
      <c r="H14" s="492"/>
      <c r="I14" s="492"/>
      <c r="J14" s="492"/>
      <c r="K14" s="498"/>
      <c r="L14" s="495"/>
      <c r="M14" s="496"/>
      <c r="N14" s="498"/>
      <c r="O14" s="495"/>
      <c r="P14" s="496"/>
    </row>
    <row r="15" spans="1:16" ht="36.75" customHeight="1" x14ac:dyDescent="0.2">
      <c r="A15" s="56">
        <v>6</v>
      </c>
      <c r="B15" s="493"/>
      <c r="C15" s="493"/>
      <c r="D15" s="498"/>
      <c r="E15" s="494">
        <v>91</v>
      </c>
      <c r="F15" s="494"/>
      <c r="G15" s="498"/>
      <c r="H15" s="492"/>
      <c r="I15" s="492"/>
      <c r="J15" s="492"/>
      <c r="K15" s="498"/>
      <c r="L15" s="495"/>
      <c r="M15" s="496"/>
      <c r="N15" s="498"/>
      <c r="O15" s="495"/>
      <c r="P15" s="496"/>
    </row>
    <row r="16" spans="1:16" ht="36.75" customHeight="1" x14ac:dyDescent="0.2">
      <c r="A16" s="56">
        <v>7</v>
      </c>
      <c r="B16" s="493"/>
      <c r="C16" s="493"/>
      <c r="D16" s="498"/>
      <c r="E16" s="494">
        <v>91</v>
      </c>
      <c r="F16" s="494"/>
      <c r="G16" s="498"/>
      <c r="H16" s="492"/>
      <c r="I16" s="492"/>
      <c r="J16" s="492"/>
      <c r="K16" s="498"/>
      <c r="L16" s="495"/>
      <c r="M16" s="496"/>
      <c r="N16" s="498"/>
      <c r="O16" s="495"/>
      <c r="P16" s="496"/>
    </row>
    <row r="17" spans="1:16" ht="36.75" customHeight="1" x14ac:dyDescent="0.2">
      <c r="A17" s="56">
        <v>8</v>
      </c>
      <c r="B17" s="493"/>
      <c r="C17" s="493"/>
      <c r="D17" s="498"/>
      <c r="E17" s="494">
        <v>91</v>
      </c>
      <c r="F17" s="494"/>
      <c r="G17" s="498"/>
      <c r="H17" s="492"/>
      <c r="I17" s="492"/>
      <c r="J17" s="492"/>
      <c r="K17" s="498"/>
      <c r="L17" s="495"/>
      <c r="M17" s="496"/>
      <c r="N17" s="498"/>
      <c r="O17" s="495"/>
      <c r="P17" s="496"/>
    </row>
    <row r="18" spans="1:16" ht="36.75" customHeight="1" x14ac:dyDescent="0.2">
      <c r="A18" s="56">
        <v>9</v>
      </c>
      <c r="B18" s="493"/>
      <c r="C18" s="493"/>
      <c r="D18" s="498"/>
      <c r="E18" s="494">
        <v>91</v>
      </c>
      <c r="F18" s="494"/>
      <c r="G18" s="498"/>
      <c r="H18" s="492"/>
      <c r="I18" s="492"/>
      <c r="J18" s="492"/>
      <c r="K18" s="498"/>
      <c r="L18" s="495"/>
      <c r="M18" s="496"/>
      <c r="N18" s="498"/>
      <c r="O18" s="495"/>
      <c r="P18" s="496"/>
    </row>
    <row r="19" spans="1:16" ht="36.75" customHeight="1" x14ac:dyDescent="0.2">
      <c r="A19" s="56">
        <v>10</v>
      </c>
      <c r="B19" s="493"/>
      <c r="C19" s="493"/>
      <c r="D19" s="498"/>
      <c r="E19" s="494">
        <v>91</v>
      </c>
      <c r="F19" s="494"/>
      <c r="G19" s="498"/>
      <c r="H19" s="492"/>
      <c r="I19" s="492"/>
      <c r="J19" s="492"/>
      <c r="K19" s="498"/>
      <c r="L19" s="495"/>
      <c r="M19" s="496"/>
      <c r="N19" s="498"/>
      <c r="O19" s="495"/>
      <c r="P19" s="496"/>
    </row>
    <row r="20" spans="1:16" ht="36.75" customHeight="1" x14ac:dyDescent="0.2">
      <c r="A20" s="56">
        <v>11</v>
      </c>
      <c r="B20" s="493"/>
      <c r="C20" s="493"/>
      <c r="D20" s="498"/>
      <c r="E20" s="494">
        <v>91</v>
      </c>
      <c r="F20" s="494"/>
      <c r="G20" s="498"/>
      <c r="H20" s="492"/>
      <c r="I20" s="492"/>
      <c r="J20" s="492"/>
      <c r="K20" s="498"/>
      <c r="L20" s="495"/>
      <c r="M20" s="496"/>
      <c r="N20" s="498"/>
      <c r="O20" s="495"/>
      <c r="P20" s="496"/>
    </row>
    <row r="21" spans="1:16" ht="36.75" customHeight="1" x14ac:dyDescent="0.2">
      <c r="A21" s="56">
        <v>12</v>
      </c>
      <c r="B21" s="493"/>
      <c r="C21" s="493"/>
      <c r="D21" s="498"/>
      <c r="E21" s="494">
        <v>91</v>
      </c>
      <c r="F21" s="494"/>
      <c r="G21" s="498"/>
      <c r="H21" s="492"/>
      <c r="I21" s="492"/>
      <c r="J21" s="492"/>
      <c r="K21" s="498"/>
      <c r="L21" s="495"/>
      <c r="M21" s="496"/>
      <c r="N21" s="498"/>
      <c r="O21" s="495"/>
      <c r="P21" s="496"/>
    </row>
    <row r="22" spans="1:16" ht="36.75" customHeight="1" x14ac:dyDescent="0.2">
      <c r="A22" s="56">
        <v>13</v>
      </c>
      <c r="B22" s="493"/>
      <c r="C22" s="493"/>
      <c r="D22" s="498"/>
      <c r="E22" s="494">
        <v>91</v>
      </c>
      <c r="F22" s="494"/>
      <c r="G22" s="498"/>
      <c r="H22" s="492"/>
      <c r="I22" s="492"/>
      <c r="J22" s="492"/>
      <c r="K22" s="498"/>
      <c r="L22" s="495"/>
      <c r="M22" s="496"/>
      <c r="N22" s="498"/>
      <c r="O22" s="495"/>
      <c r="P22" s="496"/>
    </row>
    <row r="23" spans="1:16" ht="36.75" customHeight="1" x14ac:dyDescent="0.2">
      <c r="A23" s="56">
        <v>14</v>
      </c>
      <c r="B23" s="493"/>
      <c r="C23" s="493"/>
      <c r="D23" s="498"/>
      <c r="E23" s="494">
        <v>91</v>
      </c>
      <c r="F23" s="494"/>
      <c r="G23" s="498"/>
      <c r="H23" s="492"/>
      <c r="I23" s="492"/>
      <c r="J23" s="492"/>
      <c r="K23" s="498"/>
      <c r="L23" s="495"/>
      <c r="M23" s="496"/>
      <c r="N23" s="498"/>
      <c r="O23" s="495"/>
      <c r="P23" s="496"/>
    </row>
    <row r="24" spans="1:16" ht="36.75" customHeight="1" x14ac:dyDescent="0.2">
      <c r="A24" s="56">
        <v>15</v>
      </c>
      <c r="B24" s="493"/>
      <c r="C24" s="493"/>
      <c r="D24" s="498"/>
      <c r="E24" s="494">
        <v>91</v>
      </c>
      <c r="F24" s="494"/>
      <c r="G24" s="498"/>
      <c r="H24" s="492"/>
      <c r="I24" s="492"/>
      <c r="J24" s="492"/>
      <c r="K24" s="498"/>
      <c r="L24" s="495"/>
      <c r="M24" s="496"/>
      <c r="N24" s="498"/>
      <c r="O24" s="495"/>
      <c r="P24" s="496"/>
    </row>
    <row r="25" spans="1:16" ht="36.75" customHeight="1" x14ac:dyDescent="0.2">
      <c r="A25" s="56">
        <v>16</v>
      </c>
      <c r="B25" s="493"/>
      <c r="C25" s="493"/>
      <c r="D25" s="498"/>
      <c r="E25" s="494">
        <v>91</v>
      </c>
      <c r="F25" s="494"/>
      <c r="G25" s="498"/>
      <c r="H25" s="492"/>
      <c r="I25" s="492"/>
      <c r="J25" s="492"/>
      <c r="K25" s="498"/>
      <c r="L25" s="495"/>
      <c r="M25" s="496"/>
      <c r="N25" s="498"/>
      <c r="O25" s="495"/>
      <c r="P25" s="496"/>
    </row>
    <row r="26" spans="1:16" ht="16.5" customHeight="1" x14ac:dyDescent="0.2"/>
    <row r="27" spans="1:16" ht="16.5" customHeight="1" x14ac:dyDescent="0.2"/>
    <row r="28" spans="1:16" ht="36.75" customHeight="1" x14ac:dyDescent="0.2">
      <c r="H28" s="62" t="s">
        <v>8</v>
      </c>
      <c r="I28" s="491">
        <f>SUM(H10:I25)</f>
        <v>0</v>
      </c>
      <c r="J28" s="492"/>
    </row>
    <row r="29" spans="1:16" ht="36.75" customHeight="1" x14ac:dyDescent="0.2">
      <c r="L29" s="486" t="s">
        <v>141</v>
      </c>
      <c r="M29" s="486"/>
      <c r="N29" s="486"/>
    </row>
    <row r="30" spans="1:16" ht="14.25" customHeight="1" x14ac:dyDescent="0.25">
      <c r="L30" s="61"/>
      <c r="M30" s="61"/>
      <c r="N30" s="61"/>
    </row>
    <row r="31" spans="1:16" ht="25.5" customHeight="1" x14ac:dyDescent="0.2">
      <c r="L31" s="486" t="s">
        <v>221</v>
      </c>
      <c r="M31" s="486"/>
      <c r="N31" s="486"/>
    </row>
    <row r="37" spans="1:16" ht="15.75" x14ac:dyDescent="0.2">
      <c r="A37" s="32" t="s">
        <v>73</v>
      </c>
      <c r="B37" s="32"/>
      <c r="C37" s="32"/>
    </row>
    <row r="38" spans="1:16" ht="60.75" x14ac:dyDescent="0.2">
      <c r="A38" s="499" t="s">
        <v>72</v>
      </c>
      <c r="B38" s="499"/>
      <c r="C38" s="499"/>
      <c r="E38" s="48"/>
      <c r="F38" s="47"/>
      <c r="G38" s="500" t="s">
        <v>85</v>
      </c>
      <c r="H38" s="501"/>
      <c r="I38" s="501"/>
      <c r="J38" s="502"/>
    </row>
    <row r="39" spans="1:16" ht="15.75" x14ac:dyDescent="0.2">
      <c r="A39" s="499" t="s">
        <v>36</v>
      </c>
      <c r="B39" s="499"/>
      <c r="C39" s="499"/>
      <c r="E39" s="47"/>
      <c r="F39" s="47"/>
      <c r="G39" s="503"/>
      <c r="H39" s="504"/>
      <c r="I39" s="504"/>
      <c r="J39" s="505"/>
    </row>
    <row r="40" spans="1:16" x14ac:dyDescent="0.2">
      <c r="A40" s="345" t="s">
        <v>297</v>
      </c>
      <c r="B40" s="345"/>
      <c r="C40" s="345"/>
    </row>
    <row r="41" spans="1:16" x14ac:dyDescent="0.2">
      <c r="A41" s="345"/>
      <c r="B41" s="345"/>
      <c r="C41" s="345"/>
    </row>
    <row r="43" spans="1:16" ht="31.5" customHeight="1" x14ac:dyDescent="0.2">
      <c r="A43" s="57" t="s">
        <v>88</v>
      </c>
      <c r="B43" s="506" t="s">
        <v>86</v>
      </c>
      <c r="C43" s="506"/>
      <c r="D43" s="57"/>
      <c r="E43" s="506" t="s">
        <v>80</v>
      </c>
      <c r="F43" s="506"/>
      <c r="G43" s="57"/>
      <c r="H43" s="506" t="s">
        <v>87</v>
      </c>
      <c r="I43" s="506"/>
      <c r="J43" s="506"/>
      <c r="K43" s="57"/>
      <c r="L43" s="506" t="s">
        <v>89</v>
      </c>
      <c r="M43" s="506"/>
      <c r="N43" s="57"/>
      <c r="O43" s="506" t="s">
        <v>302</v>
      </c>
      <c r="P43" s="506"/>
    </row>
    <row r="44" spans="1:16" ht="42" customHeight="1" x14ac:dyDescent="0.2">
      <c r="A44" s="56">
        <v>1</v>
      </c>
      <c r="B44" s="493"/>
      <c r="C44" s="493"/>
      <c r="D44" s="497"/>
      <c r="E44" s="510">
        <v>95</v>
      </c>
      <c r="F44" s="510"/>
      <c r="G44" s="497" t="s">
        <v>21</v>
      </c>
      <c r="H44" s="495"/>
      <c r="I44" s="509"/>
      <c r="J44" s="496"/>
      <c r="K44" s="497" t="s">
        <v>299</v>
      </c>
      <c r="L44" s="495"/>
      <c r="M44" s="496"/>
      <c r="N44" s="497" t="s">
        <v>299</v>
      </c>
      <c r="O44" s="495"/>
      <c r="P44" s="496"/>
    </row>
    <row r="45" spans="1:16" ht="42" customHeight="1" x14ac:dyDescent="0.2">
      <c r="A45" s="56">
        <v>2</v>
      </c>
      <c r="B45" s="493"/>
      <c r="C45" s="493"/>
      <c r="D45" s="498"/>
      <c r="E45" s="510">
        <v>95</v>
      </c>
      <c r="F45" s="510"/>
      <c r="G45" s="498"/>
      <c r="H45" s="495"/>
      <c r="I45" s="509"/>
      <c r="J45" s="496"/>
      <c r="K45" s="498"/>
      <c r="L45" s="495"/>
      <c r="M45" s="496"/>
      <c r="N45" s="498"/>
      <c r="O45" s="511"/>
      <c r="P45" s="512"/>
    </row>
    <row r="46" spans="1:16" ht="42" customHeight="1" x14ac:dyDescent="0.2">
      <c r="A46" s="56">
        <v>3</v>
      </c>
      <c r="B46" s="493"/>
      <c r="C46" s="493"/>
      <c r="D46" s="498"/>
      <c r="E46" s="510">
        <v>95</v>
      </c>
      <c r="F46" s="510"/>
      <c r="G46" s="498"/>
      <c r="H46" s="495"/>
      <c r="I46" s="509"/>
      <c r="J46" s="496"/>
      <c r="K46" s="498"/>
      <c r="L46" s="495"/>
      <c r="M46" s="496"/>
      <c r="N46" s="498"/>
      <c r="O46" s="511"/>
      <c r="P46" s="512"/>
    </row>
    <row r="47" spans="1:16" ht="42" customHeight="1" x14ac:dyDescent="0.2">
      <c r="A47" s="56">
        <v>4</v>
      </c>
      <c r="B47" s="493"/>
      <c r="C47" s="493"/>
      <c r="D47" s="498"/>
      <c r="E47" s="510">
        <v>95</v>
      </c>
      <c r="F47" s="510"/>
      <c r="G47" s="498"/>
      <c r="H47" s="495"/>
      <c r="I47" s="509"/>
      <c r="J47" s="496"/>
      <c r="K47" s="498"/>
      <c r="L47" s="495"/>
      <c r="M47" s="496"/>
      <c r="N47" s="498"/>
      <c r="O47" s="511"/>
      <c r="P47" s="512"/>
    </row>
    <row r="48" spans="1:16" ht="42" customHeight="1" x14ac:dyDescent="0.2">
      <c r="A48" s="56">
        <v>5</v>
      </c>
      <c r="B48" s="493"/>
      <c r="C48" s="493"/>
      <c r="D48" s="498"/>
      <c r="E48" s="510">
        <v>95</v>
      </c>
      <c r="F48" s="510"/>
      <c r="G48" s="498"/>
      <c r="H48" s="495"/>
      <c r="I48" s="509"/>
      <c r="J48" s="496"/>
      <c r="K48" s="498"/>
      <c r="L48" s="495"/>
      <c r="M48" s="496"/>
      <c r="N48" s="498"/>
      <c r="O48" s="511"/>
      <c r="P48" s="512"/>
    </row>
    <row r="49" spans="1:16" ht="42" customHeight="1" x14ac:dyDescent="0.2">
      <c r="A49" s="56">
        <v>6</v>
      </c>
      <c r="B49" s="493"/>
      <c r="C49" s="493"/>
      <c r="D49" s="498"/>
      <c r="E49" s="510">
        <v>95</v>
      </c>
      <c r="F49" s="510"/>
      <c r="G49" s="498"/>
      <c r="H49" s="495"/>
      <c r="I49" s="509"/>
      <c r="J49" s="496"/>
      <c r="K49" s="498"/>
      <c r="L49" s="495"/>
      <c r="M49" s="496"/>
      <c r="N49" s="498"/>
      <c r="O49" s="511"/>
      <c r="P49" s="512"/>
    </row>
    <row r="50" spans="1:16" ht="42" customHeight="1" x14ac:dyDescent="0.2">
      <c r="A50" s="56">
        <v>7</v>
      </c>
      <c r="B50" s="493"/>
      <c r="C50" s="493"/>
      <c r="D50" s="498"/>
      <c r="E50" s="510">
        <v>95</v>
      </c>
      <c r="F50" s="510"/>
      <c r="G50" s="498"/>
      <c r="H50" s="495"/>
      <c r="I50" s="509"/>
      <c r="J50" s="496"/>
      <c r="K50" s="498"/>
      <c r="L50" s="495"/>
      <c r="M50" s="496"/>
      <c r="N50" s="498"/>
      <c r="O50" s="511"/>
      <c r="P50" s="512"/>
    </row>
    <row r="51" spans="1:16" ht="42" customHeight="1" x14ac:dyDescent="0.2">
      <c r="A51" s="56">
        <v>8</v>
      </c>
      <c r="B51" s="493"/>
      <c r="C51" s="493"/>
      <c r="D51" s="498"/>
      <c r="E51" s="510">
        <v>95</v>
      </c>
      <c r="F51" s="510"/>
      <c r="G51" s="498"/>
      <c r="H51" s="495"/>
      <c r="I51" s="509"/>
      <c r="J51" s="496"/>
      <c r="K51" s="498"/>
      <c r="L51" s="495"/>
      <c r="M51" s="496"/>
      <c r="N51" s="498"/>
      <c r="O51" s="511"/>
      <c r="P51" s="512"/>
    </row>
    <row r="52" spans="1:16" ht="42" customHeight="1" x14ac:dyDescent="0.2">
      <c r="A52" s="56">
        <v>9</v>
      </c>
      <c r="B52" s="493"/>
      <c r="C52" s="493"/>
      <c r="D52" s="498"/>
      <c r="E52" s="510">
        <v>95</v>
      </c>
      <c r="F52" s="510"/>
      <c r="G52" s="498"/>
      <c r="H52" s="495"/>
      <c r="I52" s="509"/>
      <c r="J52" s="496"/>
      <c r="K52" s="498"/>
      <c r="L52" s="495"/>
      <c r="M52" s="496"/>
      <c r="N52" s="498"/>
      <c r="O52" s="511"/>
      <c r="P52" s="512"/>
    </row>
    <row r="53" spans="1:16" ht="42" customHeight="1" x14ac:dyDescent="0.2">
      <c r="A53" s="56">
        <v>10</v>
      </c>
      <c r="B53" s="493"/>
      <c r="C53" s="493"/>
      <c r="D53" s="498"/>
      <c r="E53" s="510">
        <v>95</v>
      </c>
      <c r="F53" s="510"/>
      <c r="G53" s="498"/>
      <c r="H53" s="495"/>
      <c r="I53" s="509"/>
      <c r="J53" s="496"/>
      <c r="K53" s="498"/>
      <c r="L53" s="495"/>
      <c r="M53" s="496"/>
      <c r="N53" s="498"/>
      <c r="O53" s="511"/>
      <c r="P53" s="512"/>
    </row>
    <row r="54" spans="1:16" ht="42" customHeight="1" x14ac:dyDescent="0.2">
      <c r="A54" s="56">
        <v>11</v>
      </c>
      <c r="B54" s="493"/>
      <c r="C54" s="493"/>
      <c r="D54" s="498"/>
      <c r="E54" s="510">
        <v>95</v>
      </c>
      <c r="F54" s="510"/>
      <c r="G54" s="498"/>
      <c r="H54" s="495"/>
      <c r="I54" s="509"/>
      <c r="J54" s="496"/>
      <c r="K54" s="498"/>
      <c r="L54" s="495"/>
      <c r="M54" s="496"/>
      <c r="N54" s="498"/>
      <c r="O54" s="511"/>
      <c r="P54" s="512"/>
    </row>
    <row r="55" spans="1:16" ht="42" customHeight="1" x14ac:dyDescent="0.2">
      <c r="A55" s="56">
        <v>12</v>
      </c>
      <c r="B55" s="493"/>
      <c r="C55" s="493"/>
      <c r="D55" s="498"/>
      <c r="E55" s="510">
        <v>95</v>
      </c>
      <c r="F55" s="510"/>
      <c r="G55" s="498"/>
      <c r="H55" s="495"/>
      <c r="I55" s="509"/>
      <c r="J55" s="496"/>
      <c r="K55" s="498"/>
      <c r="L55" s="495"/>
      <c r="M55" s="496"/>
      <c r="N55" s="498"/>
      <c r="O55" s="511"/>
      <c r="P55" s="512"/>
    </row>
    <row r="57" spans="1:16" ht="22.5" customHeight="1" x14ac:dyDescent="0.2">
      <c r="H57" s="62" t="s">
        <v>55</v>
      </c>
      <c r="I57" s="491">
        <f>SUM(H44:J55)</f>
        <v>0</v>
      </c>
      <c r="J57" s="492"/>
    </row>
    <row r="58" spans="1:16" ht="18" x14ac:dyDescent="0.2">
      <c r="L58" s="486" t="s">
        <v>141</v>
      </c>
      <c r="M58" s="486"/>
      <c r="N58" s="486"/>
    </row>
    <row r="59" spans="1:16" ht="18" x14ac:dyDescent="0.25">
      <c r="L59" s="61"/>
      <c r="M59" s="61"/>
      <c r="N59" s="61"/>
    </row>
    <row r="60" spans="1:16" ht="18" x14ac:dyDescent="0.2">
      <c r="L60" s="486" t="s">
        <v>221</v>
      </c>
      <c r="M60" s="486"/>
      <c r="N60" s="486"/>
    </row>
    <row r="67" spans="1:16" ht="15.75" x14ac:dyDescent="0.2">
      <c r="A67" s="32" t="s">
        <v>73</v>
      </c>
      <c r="B67" s="32"/>
      <c r="C67" s="32"/>
    </row>
    <row r="68" spans="1:16" ht="60.75" x14ac:dyDescent="0.2">
      <c r="A68" s="499" t="s">
        <v>72</v>
      </c>
      <c r="B68" s="499"/>
      <c r="C68" s="499"/>
      <c r="E68" s="48"/>
      <c r="F68" s="47"/>
      <c r="G68" s="500" t="s">
        <v>85</v>
      </c>
      <c r="H68" s="501"/>
      <c r="I68" s="501"/>
      <c r="J68" s="502"/>
    </row>
    <row r="69" spans="1:16" ht="22.5" customHeight="1" x14ac:dyDescent="0.2">
      <c r="A69" s="499" t="s">
        <v>36</v>
      </c>
      <c r="B69" s="499"/>
      <c r="C69" s="499"/>
      <c r="E69" s="47"/>
      <c r="F69" s="47"/>
      <c r="G69" s="503"/>
      <c r="H69" s="504"/>
      <c r="I69" s="504"/>
      <c r="J69" s="505"/>
    </row>
    <row r="70" spans="1:16" x14ac:dyDescent="0.2">
      <c r="A70" s="345" t="s">
        <v>295</v>
      </c>
      <c r="B70" s="345"/>
      <c r="C70" s="345"/>
    </row>
    <row r="71" spans="1:16" ht="27" customHeight="1" x14ac:dyDescent="0.2">
      <c r="A71" s="345"/>
      <c r="B71" s="345"/>
      <c r="C71" s="345"/>
    </row>
    <row r="73" spans="1:16" ht="18" x14ac:dyDescent="0.2">
      <c r="A73" s="57" t="s">
        <v>88</v>
      </c>
      <c r="B73" s="506" t="s">
        <v>86</v>
      </c>
      <c r="C73" s="506"/>
      <c r="D73" s="57"/>
      <c r="E73" s="506" t="s">
        <v>80</v>
      </c>
      <c r="F73" s="506"/>
      <c r="G73" s="57"/>
      <c r="H73" s="506" t="s">
        <v>87</v>
      </c>
      <c r="I73" s="506"/>
      <c r="J73" s="506"/>
      <c r="K73" s="57"/>
      <c r="L73" s="506" t="s">
        <v>89</v>
      </c>
      <c r="M73" s="506"/>
      <c r="N73" s="57"/>
      <c r="O73" s="506" t="s">
        <v>302</v>
      </c>
      <c r="P73" s="506"/>
    </row>
    <row r="74" spans="1:16" ht="36.75" customHeight="1" x14ac:dyDescent="0.2">
      <c r="A74" s="56">
        <v>1</v>
      </c>
      <c r="B74" s="493"/>
      <c r="C74" s="493"/>
      <c r="D74" s="497"/>
      <c r="E74" s="507" t="s">
        <v>7</v>
      </c>
      <c r="F74" s="508"/>
      <c r="G74" s="497" t="s">
        <v>21</v>
      </c>
      <c r="H74" s="495"/>
      <c r="I74" s="509"/>
      <c r="J74" s="496"/>
      <c r="K74" s="497" t="s">
        <v>299</v>
      </c>
      <c r="L74" s="495"/>
      <c r="M74" s="496"/>
      <c r="N74" s="497" t="s">
        <v>299</v>
      </c>
      <c r="O74" s="495"/>
      <c r="P74" s="496"/>
    </row>
    <row r="75" spans="1:16" ht="36.75" customHeight="1" x14ac:dyDescent="0.2">
      <c r="A75" s="56">
        <v>2</v>
      </c>
      <c r="B75" s="493"/>
      <c r="C75" s="493"/>
      <c r="D75" s="498"/>
      <c r="E75" s="507" t="s">
        <v>7</v>
      </c>
      <c r="F75" s="508"/>
      <c r="G75" s="498"/>
      <c r="H75" s="495"/>
      <c r="I75" s="509"/>
      <c r="J75" s="496"/>
      <c r="K75" s="498"/>
      <c r="L75" s="495"/>
      <c r="M75" s="496"/>
      <c r="N75" s="498"/>
      <c r="O75" s="495"/>
      <c r="P75" s="496"/>
    </row>
    <row r="76" spans="1:16" ht="36.75" customHeight="1" x14ac:dyDescent="0.2">
      <c r="A76" s="56">
        <v>3</v>
      </c>
      <c r="B76" s="493"/>
      <c r="C76" s="493"/>
      <c r="D76" s="498"/>
      <c r="E76" s="507" t="s">
        <v>7</v>
      </c>
      <c r="F76" s="508"/>
      <c r="G76" s="498"/>
      <c r="H76" s="495"/>
      <c r="I76" s="509"/>
      <c r="J76" s="496"/>
      <c r="K76" s="498"/>
      <c r="L76" s="495"/>
      <c r="M76" s="496"/>
      <c r="N76" s="498"/>
      <c r="O76" s="495"/>
      <c r="P76" s="496"/>
    </row>
    <row r="77" spans="1:16" ht="36.75" customHeight="1" x14ac:dyDescent="0.2">
      <c r="A77" s="56">
        <v>4</v>
      </c>
      <c r="B77" s="493"/>
      <c r="C77" s="493"/>
      <c r="D77" s="498"/>
      <c r="E77" s="507" t="s">
        <v>7</v>
      </c>
      <c r="F77" s="508"/>
      <c r="G77" s="498"/>
      <c r="H77" s="495"/>
      <c r="I77" s="509"/>
      <c r="J77" s="496"/>
      <c r="K77" s="498"/>
      <c r="L77" s="495"/>
      <c r="M77" s="496"/>
      <c r="N77" s="498"/>
      <c r="O77" s="495"/>
      <c r="P77" s="496"/>
    </row>
    <row r="78" spans="1:16" ht="36.75" customHeight="1" x14ac:dyDescent="0.2"/>
    <row r="79" spans="1:16" ht="36.75" customHeight="1" x14ac:dyDescent="0.2"/>
    <row r="80" spans="1:16" ht="36.75" customHeight="1" x14ac:dyDescent="0.2">
      <c r="H80" s="62" t="s">
        <v>8</v>
      </c>
      <c r="I80" s="491">
        <f>SUM(H74:I77)</f>
        <v>0</v>
      </c>
      <c r="J80" s="492"/>
    </row>
    <row r="81" spans="1:16" ht="36.75" customHeight="1" x14ac:dyDescent="0.2"/>
    <row r="82" spans="1:16" ht="18" x14ac:dyDescent="0.2">
      <c r="K82" s="486" t="s">
        <v>141</v>
      </c>
      <c r="L82" s="486"/>
      <c r="M82" s="486"/>
    </row>
    <row r="83" spans="1:16" ht="18" x14ac:dyDescent="0.25">
      <c r="K83" s="61"/>
      <c r="L83" s="61"/>
      <c r="M83" s="61"/>
    </row>
    <row r="84" spans="1:16" ht="18" x14ac:dyDescent="0.2">
      <c r="K84" s="486" t="s">
        <v>221</v>
      </c>
      <c r="L84" s="486"/>
      <c r="M84" s="486"/>
    </row>
    <row r="90" spans="1:16" ht="15.75" x14ac:dyDescent="0.2">
      <c r="A90" s="32" t="s">
        <v>73</v>
      </c>
      <c r="B90" s="32"/>
      <c r="C90" s="32"/>
    </row>
    <row r="91" spans="1:16" ht="60.75" x14ac:dyDescent="0.2">
      <c r="A91" s="499" t="s">
        <v>72</v>
      </c>
      <c r="B91" s="499"/>
      <c r="C91" s="499"/>
      <c r="E91" s="48"/>
      <c r="F91" s="47"/>
      <c r="G91" s="500" t="s">
        <v>85</v>
      </c>
      <c r="H91" s="501"/>
      <c r="I91" s="501"/>
      <c r="J91" s="502"/>
    </row>
    <row r="92" spans="1:16" ht="15.75" x14ac:dyDescent="0.2">
      <c r="A92" s="499" t="s">
        <v>36</v>
      </c>
      <c r="B92" s="499"/>
      <c r="C92" s="499"/>
      <c r="E92" s="47"/>
      <c r="F92" s="47"/>
      <c r="G92" s="503"/>
      <c r="H92" s="504"/>
      <c r="I92" s="504"/>
      <c r="J92" s="505"/>
    </row>
    <row r="93" spans="1:16" x14ac:dyDescent="0.2">
      <c r="A93" s="345" t="s">
        <v>298</v>
      </c>
      <c r="B93" s="345"/>
      <c r="C93" s="345"/>
    </row>
    <row r="94" spans="1:16" x14ac:dyDescent="0.2">
      <c r="A94" s="345"/>
      <c r="B94" s="345"/>
      <c r="C94" s="345"/>
    </row>
    <row r="96" spans="1:16" ht="18" x14ac:dyDescent="0.2">
      <c r="A96" s="57" t="s">
        <v>88</v>
      </c>
      <c r="B96" s="506" t="s">
        <v>86</v>
      </c>
      <c r="C96" s="506"/>
      <c r="D96" s="57"/>
      <c r="E96" s="506" t="s">
        <v>80</v>
      </c>
      <c r="F96" s="506"/>
      <c r="G96" s="57"/>
      <c r="H96" s="506" t="s">
        <v>87</v>
      </c>
      <c r="I96" s="506"/>
      <c r="J96" s="506"/>
      <c r="K96" s="57"/>
      <c r="L96" s="506" t="s">
        <v>89</v>
      </c>
      <c r="M96" s="506"/>
      <c r="N96" s="57"/>
      <c r="O96" s="506" t="s">
        <v>302</v>
      </c>
      <c r="P96" s="506"/>
    </row>
    <row r="97" spans="1:16" ht="25.5" customHeight="1" x14ac:dyDescent="0.2">
      <c r="A97" s="56">
        <v>1</v>
      </c>
      <c r="B97" s="493"/>
      <c r="C97" s="493"/>
      <c r="D97" s="497"/>
      <c r="E97" s="494">
        <v>91</v>
      </c>
      <c r="F97" s="494"/>
      <c r="G97" s="497" t="s">
        <v>21</v>
      </c>
      <c r="H97" s="492"/>
      <c r="I97" s="492"/>
      <c r="J97" s="492"/>
      <c r="K97" s="497" t="s">
        <v>299</v>
      </c>
      <c r="L97" s="495"/>
      <c r="M97" s="496"/>
      <c r="N97" s="497" t="s">
        <v>299</v>
      </c>
      <c r="O97" s="495"/>
      <c r="P97" s="496"/>
    </row>
    <row r="98" spans="1:16" ht="15" x14ac:dyDescent="0.2">
      <c r="A98" s="56">
        <v>2</v>
      </c>
      <c r="B98" s="493"/>
      <c r="C98" s="493"/>
      <c r="D98" s="498"/>
      <c r="E98" s="494">
        <v>91</v>
      </c>
      <c r="F98" s="494"/>
      <c r="G98" s="498"/>
      <c r="H98" s="492"/>
      <c r="I98" s="492"/>
      <c r="J98" s="492"/>
      <c r="K98" s="498"/>
      <c r="L98" s="495"/>
      <c r="M98" s="496"/>
      <c r="N98" s="498"/>
      <c r="O98" s="495"/>
      <c r="P98" s="496"/>
    </row>
    <row r="99" spans="1:16" ht="23.25" customHeight="1" x14ac:dyDescent="0.2">
      <c r="A99" s="56">
        <v>3</v>
      </c>
      <c r="B99" s="493"/>
      <c r="C99" s="493"/>
      <c r="D99" s="498"/>
      <c r="E99" s="494">
        <v>91</v>
      </c>
      <c r="F99" s="494"/>
      <c r="G99" s="498"/>
      <c r="H99" s="492"/>
      <c r="I99" s="492"/>
      <c r="J99" s="492"/>
      <c r="K99" s="498"/>
      <c r="L99" s="495"/>
      <c r="M99" s="496"/>
      <c r="N99" s="498"/>
      <c r="O99" s="495"/>
      <c r="P99" s="496"/>
    </row>
    <row r="100" spans="1:16" ht="22.5" customHeight="1" x14ac:dyDescent="0.2">
      <c r="A100" s="56">
        <v>4</v>
      </c>
      <c r="B100" s="493"/>
      <c r="C100" s="493"/>
      <c r="D100" s="498"/>
      <c r="E100" s="494">
        <v>91</v>
      </c>
      <c r="F100" s="494"/>
      <c r="G100" s="498"/>
      <c r="H100" s="492"/>
      <c r="I100" s="492"/>
      <c r="J100" s="492"/>
      <c r="K100" s="498"/>
      <c r="L100" s="495"/>
      <c r="M100" s="496"/>
      <c r="N100" s="498"/>
      <c r="O100" s="495"/>
      <c r="P100" s="496"/>
    </row>
    <row r="101" spans="1:16" ht="15" x14ac:dyDescent="0.2">
      <c r="A101" s="56">
        <v>5</v>
      </c>
      <c r="B101" s="493"/>
      <c r="C101" s="493"/>
      <c r="D101" s="498"/>
      <c r="E101" s="494">
        <v>91</v>
      </c>
      <c r="F101" s="494"/>
      <c r="G101" s="498"/>
      <c r="H101" s="492"/>
      <c r="I101" s="492"/>
      <c r="J101" s="492"/>
      <c r="K101" s="498"/>
      <c r="L101" s="495"/>
      <c r="M101" s="496"/>
      <c r="N101" s="498"/>
      <c r="O101" s="495"/>
      <c r="P101" s="496"/>
    </row>
    <row r="102" spans="1:16" ht="15" x14ac:dyDescent="0.2">
      <c r="A102" s="56">
        <v>6</v>
      </c>
      <c r="B102" s="493"/>
      <c r="C102" s="493"/>
      <c r="D102" s="498"/>
      <c r="E102" s="494">
        <v>91</v>
      </c>
      <c r="F102" s="494"/>
      <c r="G102" s="498"/>
      <c r="H102" s="492"/>
      <c r="I102" s="492"/>
      <c r="J102" s="492"/>
      <c r="K102" s="498"/>
      <c r="L102" s="495"/>
      <c r="M102" s="496"/>
      <c r="N102" s="498"/>
      <c r="O102" s="495"/>
      <c r="P102" s="496"/>
    </row>
    <row r="103" spans="1:16" ht="15" x14ac:dyDescent="0.2">
      <c r="A103" s="56">
        <v>7</v>
      </c>
      <c r="B103" s="493"/>
      <c r="C103" s="493"/>
      <c r="D103" s="498"/>
      <c r="E103" s="494">
        <v>91</v>
      </c>
      <c r="F103" s="494"/>
      <c r="G103" s="498"/>
      <c r="H103" s="492"/>
      <c r="I103" s="492"/>
      <c r="J103" s="492"/>
      <c r="K103" s="498"/>
      <c r="L103" s="495"/>
      <c r="M103" s="496"/>
      <c r="N103" s="498"/>
      <c r="O103" s="495"/>
      <c r="P103" s="496"/>
    </row>
    <row r="104" spans="1:16" ht="15" x14ac:dyDescent="0.2">
      <c r="A104" s="56">
        <v>8</v>
      </c>
      <c r="B104" s="493"/>
      <c r="C104" s="493"/>
      <c r="D104" s="498"/>
      <c r="E104" s="494">
        <v>91</v>
      </c>
      <c r="F104" s="494"/>
      <c r="G104" s="498"/>
      <c r="H104" s="492"/>
      <c r="I104" s="492"/>
      <c r="J104" s="492"/>
      <c r="K104" s="498"/>
      <c r="L104" s="495"/>
      <c r="M104" s="496"/>
      <c r="N104" s="498"/>
      <c r="O104" s="495"/>
      <c r="P104" s="496"/>
    </row>
    <row r="105" spans="1:16" ht="15" x14ac:dyDescent="0.2">
      <c r="A105" s="56">
        <v>9</v>
      </c>
      <c r="B105" s="493"/>
      <c r="C105" s="493"/>
      <c r="D105" s="498"/>
      <c r="E105" s="494">
        <v>91</v>
      </c>
      <c r="F105" s="494"/>
      <c r="G105" s="498"/>
      <c r="H105" s="492"/>
      <c r="I105" s="492"/>
      <c r="J105" s="492"/>
      <c r="K105" s="498"/>
      <c r="L105" s="495"/>
      <c r="M105" s="496"/>
      <c r="N105" s="498"/>
      <c r="O105" s="495"/>
      <c r="P105" s="496"/>
    </row>
    <row r="106" spans="1:16" ht="15" x14ac:dyDescent="0.2">
      <c r="A106" s="56">
        <v>10</v>
      </c>
      <c r="B106" s="493"/>
      <c r="C106" s="493"/>
      <c r="D106" s="498"/>
      <c r="E106" s="494">
        <v>91</v>
      </c>
      <c r="F106" s="494"/>
      <c r="G106" s="498"/>
      <c r="H106" s="492"/>
      <c r="I106" s="492"/>
      <c r="J106" s="492"/>
      <c r="K106" s="498"/>
      <c r="L106" s="495"/>
      <c r="M106" s="496"/>
      <c r="N106" s="498"/>
      <c r="O106" s="495"/>
      <c r="P106" s="496"/>
    </row>
    <row r="107" spans="1:16" ht="15" x14ac:dyDescent="0.2">
      <c r="A107" s="56">
        <v>11</v>
      </c>
      <c r="B107" s="493"/>
      <c r="C107" s="493"/>
      <c r="D107" s="498"/>
      <c r="E107" s="494">
        <v>91</v>
      </c>
      <c r="F107" s="494"/>
      <c r="G107" s="498"/>
      <c r="H107" s="492"/>
      <c r="I107" s="492"/>
      <c r="J107" s="492"/>
      <c r="K107" s="498"/>
      <c r="L107" s="495"/>
      <c r="M107" s="496"/>
      <c r="N107" s="498"/>
      <c r="O107" s="495"/>
      <c r="P107" s="496"/>
    </row>
    <row r="108" spans="1:16" ht="15" x14ac:dyDescent="0.2">
      <c r="A108" s="56">
        <v>12</v>
      </c>
      <c r="B108" s="493">
        <v>44974</v>
      </c>
      <c r="C108" s="493"/>
      <c r="D108" s="498"/>
      <c r="E108" s="494">
        <v>91</v>
      </c>
      <c r="F108" s="494"/>
      <c r="G108" s="498"/>
      <c r="H108" s="492">
        <v>80</v>
      </c>
      <c r="I108" s="492"/>
      <c r="J108" s="492"/>
      <c r="K108" s="498"/>
      <c r="L108" s="495">
        <v>80</v>
      </c>
      <c r="M108" s="496"/>
      <c r="N108" s="498"/>
      <c r="O108" s="495">
        <v>80</v>
      </c>
      <c r="P108" s="496"/>
    </row>
    <row r="109" spans="1:16" ht="15" x14ac:dyDescent="0.2">
      <c r="A109" s="56">
        <v>13</v>
      </c>
      <c r="B109" s="493"/>
      <c r="C109" s="493"/>
      <c r="D109" s="498"/>
      <c r="E109" s="494">
        <v>91</v>
      </c>
      <c r="F109" s="494"/>
      <c r="G109" s="498"/>
      <c r="H109" s="492"/>
      <c r="I109" s="492"/>
      <c r="J109" s="492"/>
      <c r="K109" s="498"/>
      <c r="L109" s="495"/>
      <c r="M109" s="496"/>
      <c r="N109" s="498"/>
      <c r="O109" s="495"/>
      <c r="P109" s="496"/>
    </row>
    <row r="110" spans="1:16" ht="15" x14ac:dyDescent="0.2">
      <c r="A110" s="56">
        <v>14</v>
      </c>
      <c r="B110" s="493"/>
      <c r="C110" s="493"/>
      <c r="D110" s="498"/>
      <c r="E110" s="494">
        <v>91</v>
      </c>
      <c r="F110" s="494"/>
      <c r="G110" s="498"/>
      <c r="H110" s="492"/>
      <c r="I110" s="492"/>
      <c r="J110" s="492"/>
      <c r="K110" s="498"/>
      <c r="L110" s="495"/>
      <c r="M110" s="496"/>
      <c r="N110" s="498"/>
      <c r="O110" s="495"/>
      <c r="P110" s="496"/>
    </row>
    <row r="111" spans="1:16" ht="15" x14ac:dyDescent="0.2">
      <c r="A111" s="56">
        <v>15</v>
      </c>
      <c r="B111" s="493"/>
      <c r="C111" s="493"/>
      <c r="D111" s="498"/>
      <c r="E111" s="494">
        <v>91</v>
      </c>
      <c r="F111" s="494"/>
      <c r="G111" s="498"/>
      <c r="H111" s="492"/>
      <c r="I111" s="492"/>
      <c r="J111" s="492"/>
      <c r="K111" s="498"/>
      <c r="L111" s="495"/>
      <c r="M111" s="496"/>
      <c r="N111" s="498"/>
      <c r="O111" s="495"/>
      <c r="P111" s="496"/>
    </row>
    <row r="112" spans="1:16" ht="15" x14ac:dyDescent="0.2">
      <c r="A112" s="56">
        <v>16</v>
      </c>
      <c r="B112" s="493"/>
      <c r="C112" s="493"/>
      <c r="D112" s="498"/>
      <c r="E112" s="494">
        <v>91</v>
      </c>
      <c r="F112" s="494"/>
      <c r="G112" s="498"/>
      <c r="H112" s="492"/>
      <c r="I112" s="492"/>
      <c r="J112" s="492"/>
      <c r="K112" s="498"/>
      <c r="L112" s="495"/>
      <c r="M112" s="496"/>
      <c r="N112" s="498"/>
      <c r="O112" s="495"/>
      <c r="P112" s="496"/>
    </row>
    <row r="115" spans="8:14" ht="15.75" x14ac:dyDescent="0.2">
      <c r="H115" s="62" t="s">
        <v>8</v>
      </c>
      <c r="I115" s="491">
        <f>SUM(H97:I112)</f>
        <v>80</v>
      </c>
      <c r="J115" s="492"/>
    </row>
    <row r="116" spans="8:14" ht="18" x14ac:dyDescent="0.2">
      <c r="L116" s="486" t="s">
        <v>141</v>
      </c>
      <c r="M116" s="486"/>
      <c r="N116" s="486"/>
    </row>
    <row r="117" spans="8:14" ht="18" x14ac:dyDescent="0.25">
      <c r="L117" s="61"/>
      <c r="M117" s="61"/>
      <c r="N117" s="61"/>
    </row>
    <row r="118" spans="8:14" ht="18" x14ac:dyDescent="0.2">
      <c r="L118" s="486" t="s">
        <v>221</v>
      </c>
      <c r="M118" s="486"/>
      <c r="N118" s="486"/>
    </row>
  </sheetData>
  <mergeCells count="304">
    <mergeCell ref="O25:P25"/>
    <mergeCell ref="O12:P12"/>
    <mergeCell ref="I28:J28"/>
    <mergeCell ref="L45:M45"/>
    <mergeCell ref="I80:J80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I57:J57"/>
    <mergeCell ref="O14:P14"/>
    <mergeCell ref="H19:J19"/>
    <mergeCell ref="L19:M19"/>
    <mergeCell ref="L25:M25"/>
    <mergeCell ref="O77:P77"/>
    <mergeCell ref="O74:P74"/>
    <mergeCell ref="L29:N29"/>
    <mergeCell ref="L31:N31"/>
    <mergeCell ref="L58:N58"/>
    <mergeCell ref="E13:F13"/>
    <mergeCell ref="B12:C12"/>
    <mergeCell ref="E12:F12"/>
    <mergeCell ref="H12:J12"/>
    <mergeCell ref="L11:M11"/>
    <mergeCell ref="L12:M12"/>
    <mergeCell ref="O11:P11"/>
    <mergeCell ref="H13:J13"/>
    <mergeCell ref="L13:M13"/>
    <mergeCell ref="B13:C13"/>
    <mergeCell ref="O13:P13"/>
    <mergeCell ref="E11:F11"/>
    <mergeCell ref="H11:J11"/>
    <mergeCell ref="B11:C11"/>
    <mergeCell ref="B15:C15"/>
    <mergeCell ref="E15:F15"/>
    <mergeCell ref="H15:J15"/>
    <mergeCell ref="L15:M15"/>
    <mergeCell ref="O15:P15"/>
    <mergeCell ref="B14:C14"/>
    <mergeCell ref="E14:F14"/>
    <mergeCell ref="H14:J14"/>
    <mergeCell ref="L14:M14"/>
    <mergeCell ref="A4:C4"/>
    <mergeCell ref="G4:J5"/>
    <mergeCell ref="A5:C5"/>
    <mergeCell ref="A6:C7"/>
    <mergeCell ref="O9:P9"/>
    <mergeCell ref="L9:M9"/>
    <mergeCell ref="E9:F9"/>
    <mergeCell ref="B9:C9"/>
    <mergeCell ref="O10:P10"/>
    <mergeCell ref="H9:J9"/>
    <mergeCell ref="B10:C10"/>
    <mergeCell ref="E10:F10"/>
    <mergeCell ref="H10:J10"/>
    <mergeCell ref="L10:M10"/>
    <mergeCell ref="E21:F21"/>
    <mergeCell ref="H21:J21"/>
    <mergeCell ref="L21:M21"/>
    <mergeCell ref="B20:C20"/>
    <mergeCell ref="E20:F20"/>
    <mergeCell ref="H20:J20"/>
    <mergeCell ref="L20:M20"/>
    <mergeCell ref="B17:C17"/>
    <mergeCell ref="E17:F17"/>
    <mergeCell ref="H17:J17"/>
    <mergeCell ref="L17:M17"/>
    <mergeCell ref="B18:C18"/>
    <mergeCell ref="E18:F18"/>
    <mergeCell ref="H18:J18"/>
    <mergeCell ref="L18:M18"/>
    <mergeCell ref="B19:C19"/>
    <mergeCell ref="E19:F19"/>
    <mergeCell ref="B25:C25"/>
    <mergeCell ref="E25:F25"/>
    <mergeCell ref="H25:J25"/>
    <mergeCell ref="D10:D25"/>
    <mergeCell ref="G10:G25"/>
    <mergeCell ref="K10:K25"/>
    <mergeCell ref="N10:N25"/>
    <mergeCell ref="L22:M22"/>
    <mergeCell ref="B23:C23"/>
    <mergeCell ref="E23:F23"/>
    <mergeCell ref="H23:J23"/>
    <mergeCell ref="L23:M23"/>
    <mergeCell ref="B24:C24"/>
    <mergeCell ref="E24:F24"/>
    <mergeCell ref="H24:J24"/>
    <mergeCell ref="L24:M24"/>
    <mergeCell ref="B22:C22"/>
    <mergeCell ref="E22:F22"/>
    <mergeCell ref="H22:J22"/>
    <mergeCell ref="B16:C16"/>
    <mergeCell ref="E16:F16"/>
    <mergeCell ref="H16:J16"/>
    <mergeCell ref="L16:M16"/>
    <mergeCell ref="B21:C21"/>
    <mergeCell ref="A38:C38"/>
    <mergeCell ref="G38:J39"/>
    <mergeCell ref="A39:C39"/>
    <mergeCell ref="A40:C41"/>
    <mergeCell ref="B43:C43"/>
    <mergeCell ref="E43:F43"/>
    <mergeCell ref="H43:J43"/>
    <mergeCell ref="L43:M43"/>
    <mergeCell ref="O43:P43"/>
    <mergeCell ref="B44:C44"/>
    <mergeCell ref="D44:D55"/>
    <mergeCell ref="E44:F44"/>
    <mergeCell ref="G44:G55"/>
    <mergeCell ref="H44:J44"/>
    <mergeCell ref="K44:K55"/>
    <mergeCell ref="L44:M44"/>
    <mergeCell ref="N44:N55"/>
    <mergeCell ref="O44:P44"/>
    <mergeCell ref="B45:C45"/>
    <mergeCell ref="E45:F45"/>
    <mergeCell ref="H45:J45"/>
    <mergeCell ref="L46:M46"/>
    <mergeCell ref="O45:P45"/>
    <mergeCell ref="B46:C46"/>
    <mergeCell ref="E46:F46"/>
    <mergeCell ref="H46:J46"/>
    <mergeCell ref="O46:P46"/>
    <mergeCell ref="B47:C47"/>
    <mergeCell ref="E47:F47"/>
    <mergeCell ref="H47:J47"/>
    <mergeCell ref="L47:M47"/>
    <mergeCell ref="O47:P47"/>
    <mergeCell ref="B48:C48"/>
    <mergeCell ref="E48:F48"/>
    <mergeCell ref="H48:J48"/>
    <mergeCell ref="L48:M48"/>
    <mergeCell ref="O48:P48"/>
    <mergeCell ref="B49:C49"/>
    <mergeCell ref="E49:F49"/>
    <mergeCell ref="H49:J49"/>
    <mergeCell ref="L49:M49"/>
    <mergeCell ref="O49:P49"/>
    <mergeCell ref="B50:C50"/>
    <mergeCell ref="E50:F50"/>
    <mergeCell ref="H50:J50"/>
    <mergeCell ref="L50:M50"/>
    <mergeCell ref="O50:P50"/>
    <mergeCell ref="B51:C51"/>
    <mergeCell ref="E51:F51"/>
    <mergeCell ref="H51:J51"/>
    <mergeCell ref="L51:M51"/>
    <mergeCell ref="O51:P51"/>
    <mergeCell ref="B52:C52"/>
    <mergeCell ref="E52:F52"/>
    <mergeCell ref="H52:J52"/>
    <mergeCell ref="L52:M52"/>
    <mergeCell ref="O52:P52"/>
    <mergeCell ref="B53:C53"/>
    <mergeCell ref="E53:F53"/>
    <mergeCell ref="H53:J53"/>
    <mergeCell ref="L53:M53"/>
    <mergeCell ref="O53:P53"/>
    <mergeCell ref="B54:C54"/>
    <mergeCell ref="E54:F54"/>
    <mergeCell ref="H54:J54"/>
    <mergeCell ref="L54:M54"/>
    <mergeCell ref="O54:P54"/>
    <mergeCell ref="B55:C55"/>
    <mergeCell ref="E55:F55"/>
    <mergeCell ref="H55:J55"/>
    <mergeCell ref="L55:M55"/>
    <mergeCell ref="O55:P55"/>
    <mergeCell ref="O75:P75"/>
    <mergeCell ref="B76:C76"/>
    <mergeCell ref="E76:F76"/>
    <mergeCell ref="H76:J76"/>
    <mergeCell ref="L76:M76"/>
    <mergeCell ref="O76:P76"/>
    <mergeCell ref="A68:C68"/>
    <mergeCell ref="G68:J69"/>
    <mergeCell ref="A69:C69"/>
    <mergeCell ref="A70:C71"/>
    <mergeCell ref="B73:C73"/>
    <mergeCell ref="E73:F73"/>
    <mergeCell ref="H73:J73"/>
    <mergeCell ref="L73:M73"/>
    <mergeCell ref="O73:P73"/>
    <mergeCell ref="L60:N60"/>
    <mergeCell ref="K82:M82"/>
    <mergeCell ref="K84:M84"/>
    <mergeCell ref="E74:F74"/>
    <mergeCell ref="B74:C74"/>
    <mergeCell ref="D74:D77"/>
    <mergeCell ref="E77:F77"/>
    <mergeCell ref="G74:G77"/>
    <mergeCell ref="H74:J74"/>
    <mergeCell ref="K74:K77"/>
    <mergeCell ref="L74:M74"/>
    <mergeCell ref="N74:N77"/>
    <mergeCell ref="B77:C77"/>
    <mergeCell ref="H77:J77"/>
    <mergeCell ref="L77:M77"/>
    <mergeCell ref="B75:C75"/>
    <mergeCell ref="E75:F75"/>
    <mergeCell ref="H75:J75"/>
    <mergeCell ref="L75:M75"/>
    <mergeCell ref="A91:C91"/>
    <mergeCell ref="G91:J92"/>
    <mergeCell ref="A92:C92"/>
    <mergeCell ref="A93:C94"/>
    <mergeCell ref="B96:C96"/>
    <mergeCell ref="E96:F96"/>
    <mergeCell ref="H96:J96"/>
    <mergeCell ref="L96:M96"/>
    <mergeCell ref="O96:P96"/>
    <mergeCell ref="B97:C97"/>
    <mergeCell ref="D97:D112"/>
    <mergeCell ref="E97:F97"/>
    <mergeCell ref="G97:G112"/>
    <mergeCell ref="H97:J97"/>
    <mergeCell ref="K97:K112"/>
    <mergeCell ref="L97:M97"/>
    <mergeCell ref="N97:N112"/>
    <mergeCell ref="O97:P97"/>
    <mergeCell ref="B98:C98"/>
    <mergeCell ref="E98:F98"/>
    <mergeCell ref="H98:J98"/>
    <mergeCell ref="L98:M98"/>
    <mergeCell ref="O98:P98"/>
    <mergeCell ref="B99:C99"/>
    <mergeCell ref="E99:F99"/>
    <mergeCell ref="H99:J99"/>
    <mergeCell ref="L99:M99"/>
    <mergeCell ref="O99:P99"/>
    <mergeCell ref="B100:C100"/>
    <mergeCell ref="E100:F100"/>
    <mergeCell ref="H100:J100"/>
    <mergeCell ref="L100:M100"/>
    <mergeCell ref="O100:P100"/>
    <mergeCell ref="B101:C101"/>
    <mergeCell ref="E101:F101"/>
    <mergeCell ref="H101:J101"/>
    <mergeCell ref="L101:M101"/>
    <mergeCell ref="O101:P101"/>
    <mergeCell ref="B102:C102"/>
    <mergeCell ref="E102:F102"/>
    <mergeCell ref="H102:J102"/>
    <mergeCell ref="L102:M102"/>
    <mergeCell ref="O102:P102"/>
    <mergeCell ref="B103:C103"/>
    <mergeCell ref="E103:F103"/>
    <mergeCell ref="H103:J103"/>
    <mergeCell ref="L103:M103"/>
    <mergeCell ref="O103:P103"/>
    <mergeCell ref="B104:C104"/>
    <mergeCell ref="E104:F104"/>
    <mergeCell ref="H104:J104"/>
    <mergeCell ref="L104:M104"/>
    <mergeCell ref="O104:P104"/>
    <mergeCell ref="B105:C105"/>
    <mergeCell ref="E105:F105"/>
    <mergeCell ref="H105:J105"/>
    <mergeCell ref="L105:M105"/>
    <mergeCell ref="O105:P105"/>
    <mergeCell ref="B106:C106"/>
    <mergeCell ref="E106:F106"/>
    <mergeCell ref="H106:J106"/>
    <mergeCell ref="L106:M106"/>
    <mergeCell ref="O106:P106"/>
    <mergeCell ref="B107:C107"/>
    <mergeCell ref="E107:F107"/>
    <mergeCell ref="H107:J107"/>
    <mergeCell ref="L107:M107"/>
    <mergeCell ref="O107:P107"/>
    <mergeCell ref="B108:C108"/>
    <mergeCell ref="E108:F108"/>
    <mergeCell ref="H108:J108"/>
    <mergeCell ref="L108:M108"/>
    <mergeCell ref="O108:P108"/>
    <mergeCell ref="B109:C109"/>
    <mergeCell ref="E109:F109"/>
    <mergeCell ref="H109:J109"/>
    <mergeCell ref="L109:M109"/>
    <mergeCell ref="O109:P109"/>
    <mergeCell ref="B110:C110"/>
    <mergeCell ref="E110:F110"/>
    <mergeCell ref="H110:J110"/>
    <mergeCell ref="L110:M110"/>
    <mergeCell ref="O110:P110"/>
    <mergeCell ref="I115:J115"/>
    <mergeCell ref="L116:N116"/>
    <mergeCell ref="L118:N118"/>
    <mergeCell ref="B111:C111"/>
    <mergeCell ref="E111:F111"/>
    <mergeCell ref="H111:J111"/>
    <mergeCell ref="L111:M111"/>
    <mergeCell ref="O111:P111"/>
    <mergeCell ref="B112:C112"/>
    <mergeCell ref="E112:F112"/>
    <mergeCell ref="H112:J112"/>
    <mergeCell ref="L112:M112"/>
    <mergeCell ref="O112:P112"/>
  </mergeCells>
  <phoneticPr fontId="39" type="noConversion"/>
  <printOptions horizontalCentered="1"/>
  <pageMargins left="0" right="0" top="0" bottom="0" header="0" footer="0"/>
  <pageSetup paperSize="9" scale="6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63A7-20F7-4BB7-BA49-8C0A62DCB498}">
  <dimension ref="A1:W44"/>
  <sheetViews>
    <sheetView rightToLeft="1" workbookViewId="0">
      <selection activeCell="C26" sqref="C26"/>
    </sheetView>
  </sheetViews>
  <sheetFormatPr defaultRowHeight="14.25" x14ac:dyDescent="0.2"/>
  <cols>
    <col min="6" max="6" width="15" bestFit="1" customWidth="1"/>
    <col min="8" max="8" width="13.375" customWidth="1"/>
    <col min="10" max="10" width="15.625" customWidth="1"/>
    <col min="11" max="11" width="11.5" bestFit="1" customWidth="1"/>
  </cols>
  <sheetData>
    <row r="1" spans="1:23" ht="15.75" x14ac:dyDescent="0.2">
      <c r="A1" s="499" t="s">
        <v>106</v>
      </c>
      <c r="B1" s="499"/>
      <c r="C1" s="499"/>
      <c r="R1" s="132"/>
      <c r="S1" s="132"/>
      <c r="T1" s="132"/>
      <c r="U1" s="132"/>
      <c r="V1" s="132"/>
      <c r="W1" s="132"/>
    </row>
    <row r="2" spans="1:23" ht="15.75" x14ac:dyDescent="0.2">
      <c r="R2" s="79"/>
      <c r="S2" s="335"/>
      <c r="T2" s="335"/>
      <c r="U2" s="335"/>
      <c r="V2" s="80"/>
      <c r="W2" s="79"/>
    </row>
    <row r="3" spans="1:23" ht="15.75" x14ac:dyDescent="0.25">
      <c r="A3" s="513" t="s">
        <v>107</v>
      </c>
      <c r="B3" s="456"/>
      <c r="C3" s="456"/>
      <c r="R3" s="79"/>
      <c r="S3" s="335"/>
      <c r="T3" s="335"/>
      <c r="U3" s="335"/>
      <c r="V3" s="80"/>
      <c r="W3" s="79"/>
    </row>
    <row r="5" spans="1:23" ht="18" x14ac:dyDescent="0.2">
      <c r="D5" s="516" t="s">
        <v>370</v>
      </c>
      <c r="E5" s="516"/>
      <c r="F5" s="516"/>
    </row>
    <row r="8" spans="1:23" ht="18" x14ac:dyDescent="0.25">
      <c r="A8" s="514" t="s">
        <v>108</v>
      </c>
      <c r="B8" s="515"/>
      <c r="C8" s="139" t="s">
        <v>159</v>
      </c>
      <c r="D8" s="514" t="s">
        <v>109</v>
      </c>
      <c r="E8" s="515"/>
      <c r="F8" s="137" t="s">
        <v>110</v>
      </c>
      <c r="G8" s="139" t="s">
        <v>111</v>
      </c>
      <c r="H8" s="139" t="s">
        <v>112</v>
      </c>
      <c r="I8" s="514" t="s">
        <v>119</v>
      </c>
      <c r="J8" s="515"/>
    </row>
    <row r="9" spans="1:23" ht="18" x14ac:dyDescent="0.25">
      <c r="A9" s="521" t="s">
        <v>139</v>
      </c>
      <c r="B9" s="522"/>
      <c r="C9" s="138"/>
      <c r="D9" s="138"/>
      <c r="E9" s="138"/>
      <c r="F9" s="63"/>
      <c r="G9" s="138"/>
      <c r="H9" s="138"/>
      <c r="I9" s="519"/>
      <c r="J9" s="520"/>
      <c r="K9" s="150"/>
    </row>
    <row r="10" spans="1:23" ht="18" x14ac:dyDescent="0.25">
      <c r="A10" s="521" t="s">
        <v>138</v>
      </c>
      <c r="B10" s="522"/>
      <c r="C10" s="138"/>
      <c r="D10" s="63"/>
      <c r="E10" s="138"/>
      <c r="F10" s="63"/>
      <c r="G10" s="138"/>
      <c r="H10" s="138"/>
      <c r="I10" s="519"/>
      <c r="J10" s="520"/>
      <c r="K10" s="150"/>
    </row>
    <row r="11" spans="1:23" ht="18" x14ac:dyDescent="0.25">
      <c r="A11" s="521" t="s">
        <v>252</v>
      </c>
      <c r="B11" s="522"/>
      <c r="C11" s="138"/>
      <c r="D11" s="63"/>
      <c r="E11" s="138"/>
      <c r="F11" s="63"/>
      <c r="G11" s="138"/>
      <c r="H11" s="138"/>
      <c r="I11" s="519"/>
      <c r="J11" s="520"/>
      <c r="K11" s="150"/>
      <c r="N11" s="140"/>
    </row>
    <row r="12" spans="1:23" ht="18" x14ac:dyDescent="0.25">
      <c r="A12" s="521"/>
      <c r="B12" s="522"/>
      <c r="C12" s="138"/>
      <c r="D12" s="63"/>
      <c r="E12" s="138"/>
      <c r="F12" s="63"/>
      <c r="G12" s="138"/>
      <c r="H12" s="138"/>
      <c r="I12" s="519"/>
      <c r="J12" s="520"/>
      <c r="K12" s="150"/>
    </row>
    <row r="13" spans="1:23" ht="18" x14ac:dyDescent="0.25">
      <c r="A13" s="521" t="s">
        <v>105</v>
      </c>
      <c r="B13" s="522"/>
      <c r="C13" s="138"/>
      <c r="D13" s="63"/>
      <c r="E13" s="138"/>
      <c r="F13" s="63"/>
      <c r="G13" s="138"/>
      <c r="H13" s="138"/>
      <c r="I13" s="519"/>
      <c r="J13" s="520"/>
      <c r="K13" s="150"/>
    </row>
    <row r="14" spans="1:23" ht="18" x14ac:dyDescent="0.25">
      <c r="A14" s="521" t="s">
        <v>114</v>
      </c>
      <c r="B14" s="522"/>
      <c r="C14" s="138"/>
      <c r="D14" s="63"/>
      <c r="E14" s="138"/>
      <c r="F14" s="63"/>
      <c r="G14" s="138"/>
      <c r="H14" s="138"/>
      <c r="I14" s="519"/>
      <c r="J14" s="520"/>
      <c r="K14" s="150"/>
    </row>
    <row r="15" spans="1:23" ht="18" x14ac:dyDescent="0.25">
      <c r="A15" s="521" t="s">
        <v>160</v>
      </c>
      <c r="B15" s="522"/>
      <c r="C15" s="138"/>
      <c r="D15" s="63"/>
      <c r="E15" s="138"/>
      <c r="F15" s="63"/>
      <c r="G15" s="138"/>
      <c r="H15" s="138"/>
      <c r="I15" s="519"/>
      <c r="J15" s="520"/>
      <c r="K15" s="150"/>
    </row>
    <row r="16" spans="1:23" ht="18" x14ac:dyDescent="0.25">
      <c r="A16" s="521" t="s">
        <v>113</v>
      </c>
      <c r="B16" s="522"/>
      <c r="C16" s="138"/>
      <c r="D16" s="63"/>
      <c r="E16" s="138"/>
      <c r="F16" s="63"/>
      <c r="G16" s="138"/>
      <c r="H16" s="138"/>
      <c r="I16" s="519"/>
      <c r="J16" s="520"/>
      <c r="K16" s="150"/>
      <c r="L16" s="140"/>
    </row>
    <row r="17" spans="1:11" ht="18" x14ac:dyDescent="0.25">
      <c r="A17" s="330" t="s">
        <v>324</v>
      </c>
      <c r="B17" s="325"/>
      <c r="C17" s="328"/>
      <c r="D17" s="328"/>
      <c r="E17" s="328"/>
      <c r="F17" s="328"/>
      <c r="G17" s="328"/>
      <c r="H17" s="328"/>
      <c r="I17" s="328"/>
      <c r="J17" s="325"/>
      <c r="K17" s="150"/>
    </row>
    <row r="18" spans="1:11" ht="18" x14ac:dyDescent="0.25">
      <c r="A18" s="331" t="s">
        <v>322</v>
      </c>
      <c r="B18" s="324"/>
      <c r="C18" s="328"/>
      <c r="D18" s="223"/>
      <c r="E18" s="328"/>
      <c r="F18" s="223"/>
      <c r="G18" s="223"/>
      <c r="H18" s="514"/>
      <c r="I18" s="517"/>
      <c r="J18" s="325"/>
    </row>
    <row r="19" spans="1:11" ht="18" x14ac:dyDescent="0.25">
      <c r="A19" s="332" t="s">
        <v>406</v>
      </c>
      <c r="B19" s="325"/>
      <c r="C19" s="325"/>
      <c r="D19" s="326"/>
      <c r="E19" s="325"/>
      <c r="F19" s="325"/>
      <c r="G19" s="322"/>
      <c r="H19" s="323"/>
      <c r="I19" s="329"/>
      <c r="J19" s="325"/>
    </row>
    <row r="20" spans="1:11" ht="18" x14ac:dyDescent="0.25">
      <c r="A20" s="330" t="s">
        <v>317</v>
      </c>
      <c r="B20" s="325"/>
      <c r="C20" s="323"/>
      <c r="D20" s="223"/>
      <c r="E20" s="223"/>
      <c r="G20" s="223"/>
      <c r="H20" s="223"/>
      <c r="I20" s="324"/>
      <c r="J20" s="327"/>
    </row>
    <row r="21" spans="1:11" ht="18" x14ac:dyDescent="0.25">
      <c r="A21" s="330" t="s">
        <v>325</v>
      </c>
      <c r="B21" s="324"/>
      <c r="C21" s="223"/>
      <c r="D21" s="223"/>
      <c r="E21" s="324"/>
      <c r="F21" s="223"/>
      <c r="G21" s="324"/>
      <c r="H21" s="325"/>
      <c r="I21" s="325"/>
      <c r="J21" s="325"/>
    </row>
    <row r="22" spans="1:11" x14ac:dyDescent="0.2">
      <c r="B22" s="324"/>
      <c r="C22" s="324"/>
      <c r="E22" s="324"/>
      <c r="F22" s="324"/>
      <c r="G22" s="324"/>
      <c r="I22" s="324"/>
    </row>
    <row r="41" spans="1:10" ht="18" x14ac:dyDescent="0.25">
      <c r="B41" s="518" t="s">
        <v>115</v>
      </c>
      <c r="C41" s="518"/>
      <c r="H41" s="518" t="s">
        <v>116</v>
      </c>
      <c r="I41" s="518"/>
    </row>
    <row r="43" spans="1:10" x14ac:dyDescent="0.2">
      <c r="A43" s="513" t="s">
        <v>117</v>
      </c>
      <c r="B43" s="513"/>
      <c r="C43" s="513"/>
      <c r="D43" s="513"/>
      <c r="G43" s="513" t="s">
        <v>118</v>
      </c>
      <c r="H43" s="513"/>
      <c r="I43" s="513"/>
      <c r="J43" s="513"/>
    </row>
    <row r="44" spans="1:10" x14ac:dyDescent="0.2">
      <c r="A44" s="513"/>
      <c r="B44" s="513"/>
      <c r="C44" s="513"/>
      <c r="D44" s="513"/>
      <c r="G44" s="513"/>
      <c r="H44" s="513"/>
      <c r="I44" s="513"/>
      <c r="J44" s="513"/>
    </row>
  </sheetData>
  <mergeCells count="29">
    <mergeCell ref="A16:B16"/>
    <mergeCell ref="A14:B14"/>
    <mergeCell ref="A10:B10"/>
    <mergeCell ref="A9:B9"/>
    <mergeCell ref="A11:B11"/>
    <mergeCell ref="A13:B13"/>
    <mergeCell ref="A12:B12"/>
    <mergeCell ref="A15:B15"/>
    <mergeCell ref="S2:U2"/>
    <mergeCell ref="S3:U3"/>
    <mergeCell ref="A43:D44"/>
    <mergeCell ref="G43:J44"/>
    <mergeCell ref="H18:I18"/>
    <mergeCell ref="B41:C41"/>
    <mergeCell ref="H41:I41"/>
    <mergeCell ref="I8:J8"/>
    <mergeCell ref="I16:J16"/>
    <mergeCell ref="I14:J14"/>
    <mergeCell ref="I10:J10"/>
    <mergeCell ref="I9:J9"/>
    <mergeCell ref="I11:J11"/>
    <mergeCell ref="I13:J13"/>
    <mergeCell ref="I12:J12"/>
    <mergeCell ref="I15:J15"/>
    <mergeCell ref="A1:C1"/>
    <mergeCell ref="A3:C3"/>
    <mergeCell ref="A8:B8"/>
    <mergeCell ref="D8:E8"/>
    <mergeCell ref="D5:F5"/>
  </mergeCells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C1E4-B5C9-4C62-900F-6A994AE39B9B}">
  <dimension ref="A2:M33"/>
  <sheetViews>
    <sheetView rightToLeft="1" zoomScaleNormal="100" workbookViewId="0">
      <selection activeCell="E25" sqref="E25:F25"/>
    </sheetView>
  </sheetViews>
  <sheetFormatPr defaultRowHeight="14.25" x14ac:dyDescent="0.2"/>
  <cols>
    <col min="2" max="2" width="10.5" bestFit="1" customWidth="1"/>
    <col min="5" max="5" width="18.75" customWidth="1"/>
    <col min="6" max="6" width="28.875" customWidth="1"/>
    <col min="12" max="12" width="12.5" customWidth="1"/>
  </cols>
  <sheetData>
    <row r="2" spans="1:13" ht="18" x14ac:dyDescent="0.2">
      <c r="A2" s="65" t="s">
        <v>73</v>
      </c>
      <c r="B2" s="65"/>
      <c r="C2" s="65"/>
    </row>
    <row r="3" spans="1:13" ht="60.75" customHeight="1" x14ac:dyDescent="0.2">
      <c r="A3" s="486" t="s">
        <v>72</v>
      </c>
      <c r="B3" s="486"/>
      <c r="C3" s="486"/>
      <c r="E3" s="527" t="s">
        <v>81</v>
      </c>
      <c r="F3" s="527"/>
      <c r="G3" s="527"/>
      <c r="H3" s="527"/>
      <c r="I3" s="527"/>
      <c r="J3" s="527"/>
    </row>
    <row r="4" spans="1:13" ht="15.75" customHeight="1" x14ac:dyDescent="0.2">
      <c r="A4" s="486" t="s">
        <v>36</v>
      </c>
      <c r="B4" s="486"/>
      <c r="C4" s="486"/>
      <c r="E4" s="527"/>
      <c r="F4" s="527"/>
      <c r="G4" s="527"/>
      <c r="H4" s="527"/>
      <c r="I4" s="527"/>
      <c r="J4" s="527"/>
    </row>
    <row r="5" spans="1:13" ht="18" x14ac:dyDescent="0.25">
      <c r="A5" s="64"/>
      <c r="B5" s="64"/>
      <c r="C5" s="64"/>
    </row>
    <row r="6" spans="1:13" ht="18" x14ac:dyDescent="0.25">
      <c r="A6" s="518" t="s">
        <v>369</v>
      </c>
      <c r="B6" s="526"/>
      <c r="C6" s="526"/>
    </row>
    <row r="8" spans="1:13" ht="29.25" customHeight="1" x14ac:dyDescent="0.2">
      <c r="A8" s="49"/>
      <c r="B8" s="49"/>
      <c r="C8" s="49"/>
      <c r="D8" s="49"/>
    </row>
    <row r="11" spans="1:13" ht="22.5" customHeight="1" x14ac:dyDescent="0.2">
      <c r="B11" s="55" t="s">
        <v>83</v>
      </c>
      <c r="C11" s="528" t="s">
        <v>82</v>
      </c>
      <c r="D11" s="528"/>
      <c r="E11" s="528" t="s">
        <v>84</v>
      </c>
      <c r="F11" s="528"/>
      <c r="G11" s="528" t="s">
        <v>42</v>
      </c>
      <c r="H11" s="528"/>
      <c r="I11" s="528" t="s">
        <v>90</v>
      </c>
      <c r="J11" s="528"/>
      <c r="K11" s="528"/>
      <c r="L11" s="528"/>
      <c r="M11" s="50"/>
    </row>
    <row r="12" spans="1:13" ht="15" x14ac:dyDescent="0.2">
      <c r="B12" s="181" t="s">
        <v>305</v>
      </c>
      <c r="C12" s="523" t="s">
        <v>138</v>
      </c>
      <c r="D12" s="523"/>
      <c r="E12" s="524"/>
      <c r="F12" s="524"/>
      <c r="G12" s="525"/>
      <c r="H12" s="524"/>
      <c r="I12" s="524"/>
      <c r="J12" s="524"/>
      <c r="K12" s="524"/>
      <c r="L12" s="524"/>
    </row>
    <row r="13" spans="1:13" ht="15" x14ac:dyDescent="0.2">
      <c r="B13" s="181"/>
      <c r="C13" s="523" t="s">
        <v>317</v>
      </c>
      <c r="D13" s="523"/>
      <c r="E13" s="524"/>
      <c r="F13" s="524"/>
      <c r="G13" s="525"/>
      <c r="H13" s="524"/>
      <c r="I13" s="524"/>
      <c r="J13" s="524"/>
      <c r="K13" s="524"/>
      <c r="L13" s="524"/>
    </row>
    <row r="14" spans="1:13" ht="15" x14ac:dyDescent="0.2">
      <c r="B14" s="181"/>
      <c r="C14" s="523" t="s">
        <v>318</v>
      </c>
      <c r="D14" s="523"/>
      <c r="E14" s="524"/>
      <c r="F14" s="524"/>
      <c r="G14" s="525"/>
      <c r="H14" s="524"/>
      <c r="I14" s="524"/>
      <c r="J14" s="524"/>
      <c r="K14" s="524"/>
      <c r="L14" s="524"/>
    </row>
    <row r="15" spans="1:13" ht="15" x14ac:dyDescent="0.2">
      <c r="B15" s="181"/>
      <c r="C15" s="523" t="s">
        <v>319</v>
      </c>
      <c r="D15" s="523"/>
      <c r="E15" s="524"/>
      <c r="F15" s="524"/>
      <c r="G15" s="525"/>
      <c r="H15" s="524"/>
      <c r="I15" s="524"/>
      <c r="J15" s="524"/>
      <c r="K15" s="524"/>
      <c r="L15" s="524"/>
    </row>
    <row r="16" spans="1:13" ht="15" x14ac:dyDescent="0.2">
      <c r="B16" s="52"/>
      <c r="C16" s="523" t="s">
        <v>320</v>
      </c>
      <c r="D16" s="523"/>
      <c r="E16" s="524"/>
      <c r="F16" s="524"/>
      <c r="G16" s="525"/>
      <c r="H16" s="524"/>
      <c r="I16" s="524"/>
      <c r="J16" s="524"/>
      <c r="K16" s="524"/>
      <c r="L16" s="524"/>
    </row>
    <row r="17" spans="2:12" ht="15" x14ac:dyDescent="0.2">
      <c r="B17" s="52"/>
      <c r="C17" s="524"/>
      <c r="D17" s="524"/>
      <c r="E17" s="524"/>
      <c r="F17" s="524"/>
      <c r="G17" s="525"/>
      <c r="H17" s="524"/>
      <c r="I17" s="524"/>
      <c r="J17" s="524"/>
      <c r="K17" s="524"/>
      <c r="L17" s="524"/>
    </row>
    <row r="18" spans="2:12" ht="15" x14ac:dyDescent="0.2">
      <c r="B18" s="68"/>
      <c r="C18" s="529" t="s">
        <v>321</v>
      </c>
      <c r="D18" s="529"/>
      <c r="E18" s="530"/>
      <c r="F18" s="530"/>
      <c r="G18" s="525"/>
      <c r="H18" s="524"/>
      <c r="I18" s="524"/>
      <c r="J18" s="524"/>
      <c r="K18" s="524"/>
      <c r="L18" s="524"/>
    </row>
    <row r="19" spans="2:12" ht="15" x14ac:dyDescent="0.2">
      <c r="B19" s="52"/>
      <c r="C19" s="529" t="s">
        <v>322</v>
      </c>
      <c r="D19" s="529"/>
      <c r="E19" s="530"/>
      <c r="F19" s="530"/>
      <c r="G19" s="525"/>
      <c r="H19" s="524"/>
      <c r="I19" s="524"/>
      <c r="J19" s="524"/>
      <c r="K19" s="524"/>
      <c r="L19" s="524"/>
    </row>
    <row r="20" spans="2:12" ht="15" x14ac:dyDescent="0.2">
      <c r="B20" s="52"/>
      <c r="C20" s="529" t="s">
        <v>105</v>
      </c>
      <c r="D20" s="529"/>
      <c r="E20" s="530"/>
      <c r="F20" s="530"/>
      <c r="G20" s="525"/>
      <c r="H20" s="524"/>
      <c r="I20" s="524"/>
      <c r="J20" s="524"/>
      <c r="K20" s="524"/>
      <c r="L20" s="524"/>
    </row>
    <row r="21" spans="2:12" ht="15" x14ac:dyDescent="0.2">
      <c r="B21" s="52"/>
      <c r="C21" s="529" t="s">
        <v>323</v>
      </c>
      <c r="D21" s="529"/>
      <c r="E21" s="524"/>
      <c r="F21" s="524"/>
      <c r="G21" s="525"/>
      <c r="H21" s="524"/>
      <c r="I21" s="524"/>
      <c r="J21" s="524"/>
      <c r="K21" s="524"/>
      <c r="L21" s="524"/>
    </row>
    <row r="22" spans="2:12" ht="15" x14ac:dyDescent="0.2">
      <c r="B22" s="52"/>
      <c r="C22" s="529" t="s">
        <v>324</v>
      </c>
      <c r="D22" s="529"/>
      <c r="E22" s="524"/>
      <c r="F22" s="524"/>
      <c r="G22" s="525"/>
      <c r="H22" s="524"/>
      <c r="I22" s="524"/>
      <c r="J22" s="524"/>
      <c r="K22" s="524"/>
      <c r="L22" s="524"/>
    </row>
    <row r="23" spans="2:12" ht="15" x14ac:dyDescent="0.2">
      <c r="B23" s="52"/>
      <c r="C23" s="529" t="s">
        <v>325</v>
      </c>
      <c r="D23" s="529"/>
      <c r="E23" s="524"/>
      <c r="F23" s="524"/>
      <c r="G23" s="525"/>
      <c r="H23" s="524"/>
      <c r="I23" s="524"/>
      <c r="J23" s="524"/>
      <c r="K23" s="524"/>
      <c r="L23" s="524"/>
    </row>
    <row r="24" spans="2:12" ht="15" x14ac:dyDescent="0.2">
      <c r="B24" s="52"/>
      <c r="C24" s="531" t="s">
        <v>461</v>
      </c>
      <c r="D24" s="531"/>
      <c r="E24" s="524"/>
      <c r="F24" s="524"/>
      <c r="G24" s="524"/>
      <c r="H24" s="524"/>
      <c r="I24" s="524"/>
      <c r="J24" s="524"/>
      <c r="K24" s="524"/>
      <c r="L24" s="524"/>
    </row>
    <row r="25" spans="2:12" ht="15" x14ac:dyDescent="0.2">
      <c r="B25" s="52"/>
      <c r="C25" s="531" t="s">
        <v>462</v>
      </c>
      <c r="D25" s="531"/>
      <c r="E25" s="524"/>
      <c r="F25" s="524"/>
      <c r="G25" s="524"/>
      <c r="H25" s="524"/>
      <c r="I25" s="524"/>
      <c r="J25" s="524"/>
      <c r="K25" s="524"/>
      <c r="L25" s="524"/>
    </row>
    <row r="26" spans="2:12" ht="15" x14ac:dyDescent="0.2">
      <c r="B26" s="52"/>
      <c r="C26" s="524"/>
      <c r="D26" s="524"/>
      <c r="E26" s="524"/>
      <c r="F26" s="524"/>
      <c r="G26" s="524"/>
      <c r="H26" s="524"/>
      <c r="I26" s="524"/>
      <c r="J26" s="524"/>
      <c r="K26" s="524"/>
      <c r="L26" s="524"/>
    </row>
    <row r="27" spans="2:12" ht="15" x14ac:dyDescent="0.2">
      <c r="B27" s="52"/>
      <c r="C27" s="524"/>
      <c r="D27" s="524"/>
      <c r="E27" s="524"/>
      <c r="F27" s="524"/>
      <c r="G27" s="524"/>
      <c r="H27" s="524"/>
      <c r="I27" s="524"/>
      <c r="J27" s="524"/>
      <c r="K27" s="524"/>
      <c r="L27" s="524"/>
    </row>
    <row r="28" spans="2:12" ht="15" x14ac:dyDescent="0.2">
      <c r="B28" s="52"/>
      <c r="C28" s="524"/>
      <c r="D28" s="524"/>
      <c r="E28" s="524"/>
      <c r="F28" s="524"/>
      <c r="G28" s="524"/>
      <c r="H28" s="524"/>
      <c r="I28" s="524"/>
      <c r="J28" s="524"/>
      <c r="K28" s="524"/>
      <c r="L28" s="524"/>
    </row>
    <row r="29" spans="2:12" ht="15" x14ac:dyDescent="0.2">
      <c r="B29" s="52"/>
      <c r="C29" s="524"/>
      <c r="D29" s="524"/>
      <c r="E29" s="524"/>
      <c r="F29" s="524"/>
      <c r="G29" s="524"/>
      <c r="H29" s="524"/>
      <c r="I29" s="524"/>
      <c r="J29" s="524"/>
      <c r="K29" s="524"/>
      <c r="L29" s="524"/>
    </row>
    <row r="30" spans="2:12" ht="15" x14ac:dyDescent="0.2">
      <c r="B30" s="53"/>
      <c r="C30" s="532"/>
      <c r="D30" s="532"/>
      <c r="E30" s="532"/>
      <c r="F30" s="532"/>
      <c r="G30" s="532"/>
      <c r="H30" s="532"/>
      <c r="I30" s="532"/>
      <c r="J30" s="532"/>
      <c r="K30" s="532"/>
      <c r="L30" s="532"/>
    </row>
    <row r="31" spans="2:12" x14ac:dyDescent="0.2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</row>
    <row r="32" spans="2:12" ht="15" x14ac:dyDescent="0.25">
      <c r="H32" s="345" t="s">
        <v>33</v>
      </c>
      <c r="I32" s="345"/>
      <c r="J32" s="345"/>
    </row>
    <row r="33" spans="8:10" ht="15" x14ac:dyDescent="0.25">
      <c r="H33" s="345" t="s">
        <v>34</v>
      </c>
      <c r="I33" s="345"/>
      <c r="J33" s="345"/>
    </row>
  </sheetData>
  <mergeCells count="86">
    <mergeCell ref="H32:J32"/>
    <mergeCell ref="H33:J33"/>
    <mergeCell ref="C27:D27"/>
    <mergeCell ref="E27:F27"/>
    <mergeCell ref="G27:H27"/>
    <mergeCell ref="I27:L27"/>
    <mergeCell ref="C30:D30"/>
    <mergeCell ref="E30:F30"/>
    <mergeCell ref="G30:H30"/>
    <mergeCell ref="I30:L30"/>
    <mergeCell ref="C28:D28"/>
    <mergeCell ref="E28:F28"/>
    <mergeCell ref="G28:H28"/>
    <mergeCell ref="I28:L28"/>
    <mergeCell ref="C29:D29"/>
    <mergeCell ref="E29:F29"/>
    <mergeCell ref="G29:H29"/>
    <mergeCell ref="I29:L29"/>
    <mergeCell ref="C25:D25"/>
    <mergeCell ref="E25:F25"/>
    <mergeCell ref="G25:H25"/>
    <mergeCell ref="I25:L25"/>
    <mergeCell ref="C26:D26"/>
    <mergeCell ref="E26:F26"/>
    <mergeCell ref="G26:H26"/>
    <mergeCell ref="I26:L26"/>
    <mergeCell ref="C23:D23"/>
    <mergeCell ref="E23:F23"/>
    <mergeCell ref="G23:H23"/>
    <mergeCell ref="I23:L23"/>
    <mergeCell ref="C24:D24"/>
    <mergeCell ref="E24:F24"/>
    <mergeCell ref="G24:H24"/>
    <mergeCell ref="I24:L24"/>
    <mergeCell ref="C21:D21"/>
    <mergeCell ref="E21:F21"/>
    <mergeCell ref="G21:H21"/>
    <mergeCell ref="I21:L21"/>
    <mergeCell ref="C22:D22"/>
    <mergeCell ref="E22:F22"/>
    <mergeCell ref="G22:H22"/>
    <mergeCell ref="I22:L22"/>
    <mergeCell ref="C19:D19"/>
    <mergeCell ref="E19:F19"/>
    <mergeCell ref="G19:H19"/>
    <mergeCell ref="I19:L19"/>
    <mergeCell ref="C20:D20"/>
    <mergeCell ref="E20:F20"/>
    <mergeCell ref="G20:H20"/>
    <mergeCell ref="I20:L20"/>
    <mergeCell ref="C17:D17"/>
    <mergeCell ref="E17:F17"/>
    <mergeCell ref="G17:H17"/>
    <mergeCell ref="I17:L17"/>
    <mergeCell ref="C18:D18"/>
    <mergeCell ref="E18:F18"/>
    <mergeCell ref="G18:H18"/>
    <mergeCell ref="I18:L18"/>
    <mergeCell ref="C15:D15"/>
    <mergeCell ref="E15:F15"/>
    <mergeCell ref="G15:H15"/>
    <mergeCell ref="I15:L15"/>
    <mergeCell ref="C16:D16"/>
    <mergeCell ref="E16:F16"/>
    <mergeCell ref="G16:H16"/>
    <mergeCell ref="I16:L16"/>
    <mergeCell ref="C14:D14"/>
    <mergeCell ref="E14:F14"/>
    <mergeCell ref="G14:H14"/>
    <mergeCell ref="I14:L14"/>
    <mergeCell ref="C13:D13"/>
    <mergeCell ref="E13:F13"/>
    <mergeCell ref="G13:H13"/>
    <mergeCell ref="I13:L13"/>
    <mergeCell ref="C12:D12"/>
    <mergeCell ref="E12:F12"/>
    <mergeCell ref="G12:H12"/>
    <mergeCell ref="I12:L12"/>
    <mergeCell ref="A3:C3"/>
    <mergeCell ref="A4:C4"/>
    <mergeCell ref="A6:C6"/>
    <mergeCell ref="E3:J4"/>
    <mergeCell ref="C11:D11"/>
    <mergeCell ref="E11:F11"/>
    <mergeCell ref="G11:H11"/>
    <mergeCell ref="I11:L11"/>
  </mergeCells>
  <phoneticPr fontId="39" type="noConversion"/>
  <pageMargins left="0.7" right="0.7" top="0.75" bottom="0.75" header="0.3" footer="0.3"/>
  <pageSetup paperSize="9" scale="8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DD8F-87AB-460B-B1B0-F6721A3F8525}">
  <sheetPr>
    <tabColor rgb="FF00B0F0"/>
  </sheetPr>
  <dimension ref="A2:O33"/>
  <sheetViews>
    <sheetView rightToLeft="1" topLeftCell="A4" zoomScaleNormal="100" workbookViewId="0">
      <selection activeCell="B16" sqref="B16:C16"/>
    </sheetView>
  </sheetViews>
  <sheetFormatPr defaultRowHeight="14.25" x14ac:dyDescent="0.2"/>
  <cols>
    <col min="7" max="7" width="61.375" customWidth="1"/>
    <col min="8" max="8" width="10.25" customWidth="1"/>
    <col min="9" max="9" width="12.25" customWidth="1"/>
    <col min="11" max="11" width="6.875" customWidth="1"/>
    <col min="15" max="15" width="10" customWidth="1"/>
  </cols>
  <sheetData>
    <row r="2" spans="1:15" ht="25.5" customHeight="1" x14ac:dyDescent="0.2">
      <c r="A2" s="32" t="s">
        <v>73</v>
      </c>
      <c r="B2" s="32"/>
      <c r="C2" s="32"/>
    </row>
    <row r="3" spans="1:15" ht="24" customHeight="1" x14ac:dyDescent="0.2">
      <c r="A3" s="499" t="s">
        <v>72</v>
      </c>
      <c r="B3" s="499"/>
      <c r="C3" s="499"/>
      <c r="E3" s="48"/>
      <c r="F3" s="47"/>
      <c r="G3" s="527" t="s">
        <v>296</v>
      </c>
      <c r="H3" s="527"/>
      <c r="I3" s="527"/>
      <c r="J3" s="527"/>
    </row>
    <row r="4" spans="1:15" ht="22.5" customHeight="1" x14ac:dyDescent="0.2">
      <c r="A4" s="499" t="s">
        <v>36</v>
      </c>
      <c r="B4" s="499"/>
      <c r="C4" s="499"/>
      <c r="E4" s="47"/>
      <c r="F4" s="47"/>
      <c r="G4" s="527"/>
      <c r="H4" s="527"/>
      <c r="I4" s="527"/>
      <c r="J4" s="527"/>
    </row>
    <row r="5" spans="1:15" x14ac:dyDescent="0.2">
      <c r="G5" s="527"/>
      <c r="H5" s="527"/>
      <c r="I5" s="527"/>
      <c r="J5" s="527"/>
    </row>
    <row r="7" spans="1:15" ht="15" thickBot="1" x14ac:dyDescent="0.25"/>
    <row r="8" spans="1:15" ht="33" customHeight="1" x14ac:dyDescent="0.2">
      <c r="A8" s="51" t="s">
        <v>75</v>
      </c>
      <c r="B8" s="551" t="s">
        <v>42</v>
      </c>
      <c r="C8" s="551"/>
      <c r="D8" s="551" t="s">
        <v>78</v>
      </c>
      <c r="E8" s="551"/>
      <c r="F8" s="551" t="s">
        <v>79</v>
      </c>
      <c r="G8" s="551"/>
      <c r="H8" s="551" t="s">
        <v>74</v>
      </c>
      <c r="I8" s="551"/>
      <c r="J8" s="551" t="s">
        <v>76</v>
      </c>
      <c r="K8" s="551"/>
      <c r="L8" s="551" t="s">
        <v>77</v>
      </c>
      <c r="M8" s="551"/>
      <c r="N8" s="551" t="s">
        <v>260</v>
      </c>
      <c r="O8" s="552"/>
    </row>
    <row r="9" spans="1:15" ht="30" customHeight="1" x14ac:dyDescent="0.2">
      <c r="A9" s="59">
        <v>1</v>
      </c>
      <c r="B9" s="540">
        <v>45051</v>
      </c>
      <c r="C9" s="537"/>
      <c r="D9" s="537" t="s">
        <v>466</v>
      </c>
      <c r="E9" s="537"/>
      <c r="F9" s="537" t="s">
        <v>467</v>
      </c>
      <c r="G9" s="537"/>
      <c r="H9" s="537" t="s">
        <v>430</v>
      </c>
      <c r="I9" s="537"/>
      <c r="J9" s="537" t="s">
        <v>452</v>
      </c>
      <c r="K9" s="537"/>
      <c r="L9" s="537" t="s">
        <v>408</v>
      </c>
      <c r="M9" s="537"/>
      <c r="N9" s="538">
        <v>45062</v>
      </c>
      <c r="O9" s="539"/>
    </row>
    <row r="10" spans="1:15" ht="30" customHeight="1" x14ac:dyDescent="0.2">
      <c r="A10" s="59">
        <v>2</v>
      </c>
      <c r="B10" s="540">
        <v>45056</v>
      </c>
      <c r="C10" s="537"/>
      <c r="D10" s="540" t="s">
        <v>428</v>
      </c>
      <c r="E10" s="537"/>
      <c r="F10" s="537" t="s">
        <v>429</v>
      </c>
      <c r="G10" s="537"/>
      <c r="H10" s="537" t="s">
        <v>430</v>
      </c>
      <c r="I10" s="537"/>
      <c r="J10" s="537" t="s">
        <v>431</v>
      </c>
      <c r="K10" s="537"/>
      <c r="L10" s="537" t="s">
        <v>408</v>
      </c>
      <c r="M10" s="537"/>
      <c r="N10" s="540">
        <v>45056</v>
      </c>
      <c r="O10" s="537"/>
    </row>
    <row r="11" spans="1:15" ht="30" customHeight="1" x14ac:dyDescent="0.2">
      <c r="A11" s="59">
        <v>3</v>
      </c>
      <c r="B11" s="540">
        <v>45059</v>
      </c>
      <c r="C11" s="537"/>
      <c r="D11" s="540" t="s">
        <v>448</v>
      </c>
      <c r="E11" s="537"/>
      <c r="F11" s="537" t="s">
        <v>449</v>
      </c>
      <c r="G11" s="537"/>
      <c r="H11" s="537" t="s">
        <v>430</v>
      </c>
      <c r="I11" s="537"/>
      <c r="J11" s="537" t="s">
        <v>450</v>
      </c>
      <c r="K11" s="537"/>
      <c r="L11" s="537" t="s">
        <v>408</v>
      </c>
      <c r="M11" s="537"/>
      <c r="N11" s="538">
        <v>45059</v>
      </c>
      <c r="O11" s="539"/>
    </row>
    <row r="12" spans="1:15" ht="30" customHeight="1" x14ac:dyDescent="0.2">
      <c r="A12" s="59">
        <v>4</v>
      </c>
      <c r="B12" s="540">
        <v>45059</v>
      </c>
      <c r="C12" s="537"/>
      <c r="D12" s="537" t="s">
        <v>451</v>
      </c>
      <c r="E12" s="537"/>
      <c r="F12" s="537" t="s">
        <v>469</v>
      </c>
      <c r="G12" s="537"/>
      <c r="H12" s="537" t="s">
        <v>430</v>
      </c>
      <c r="I12" s="537"/>
      <c r="J12" s="537" t="s">
        <v>452</v>
      </c>
      <c r="K12" s="537"/>
      <c r="L12" s="537" t="s">
        <v>408</v>
      </c>
      <c r="M12" s="537"/>
      <c r="N12" s="538">
        <v>45059</v>
      </c>
      <c r="O12" s="539"/>
    </row>
    <row r="13" spans="1:15" ht="30" customHeight="1" x14ac:dyDescent="0.2">
      <c r="A13" s="59">
        <v>5</v>
      </c>
      <c r="B13" s="540">
        <v>45062</v>
      </c>
      <c r="C13" s="537"/>
      <c r="D13" s="537" t="s">
        <v>468</v>
      </c>
      <c r="E13" s="537"/>
      <c r="F13" s="537" t="s">
        <v>482</v>
      </c>
      <c r="G13" s="537"/>
      <c r="H13" s="537" t="s">
        <v>430</v>
      </c>
      <c r="I13" s="537"/>
      <c r="J13" s="537" t="s">
        <v>450</v>
      </c>
      <c r="K13" s="537"/>
      <c r="L13" s="537" t="s">
        <v>408</v>
      </c>
      <c r="M13" s="537"/>
      <c r="N13" s="538">
        <v>45062</v>
      </c>
      <c r="O13" s="539"/>
    </row>
    <row r="14" spans="1:15" ht="30" customHeight="1" x14ac:dyDescent="0.2">
      <c r="A14" s="59">
        <v>6</v>
      </c>
      <c r="B14" s="547">
        <v>45063</v>
      </c>
      <c r="C14" s="548"/>
      <c r="D14" s="549" t="s">
        <v>483</v>
      </c>
      <c r="E14" s="550"/>
      <c r="F14" s="549" t="s">
        <v>484</v>
      </c>
      <c r="G14" s="550"/>
      <c r="H14" s="537" t="s">
        <v>430</v>
      </c>
      <c r="I14" s="537"/>
      <c r="J14" s="537" t="s">
        <v>452</v>
      </c>
      <c r="K14" s="537"/>
      <c r="L14" s="537" t="s">
        <v>408</v>
      </c>
      <c r="M14" s="537"/>
      <c r="N14" s="538">
        <v>45063</v>
      </c>
      <c r="O14" s="539"/>
    </row>
    <row r="15" spans="1:15" ht="30" customHeight="1" x14ac:dyDescent="0.2">
      <c r="A15" s="59">
        <v>7</v>
      </c>
      <c r="B15" s="540">
        <v>45063</v>
      </c>
      <c r="C15" s="537"/>
      <c r="D15" s="537" t="s">
        <v>448</v>
      </c>
      <c r="E15" s="537"/>
      <c r="F15" s="537" t="s">
        <v>485</v>
      </c>
      <c r="G15" s="537"/>
      <c r="H15" s="537" t="s">
        <v>430</v>
      </c>
      <c r="I15" s="537"/>
      <c r="J15" s="537" t="s">
        <v>431</v>
      </c>
      <c r="K15" s="537"/>
      <c r="L15" s="537" t="s">
        <v>408</v>
      </c>
      <c r="M15" s="537"/>
      <c r="N15" s="538">
        <v>45063</v>
      </c>
      <c r="O15" s="539"/>
    </row>
    <row r="16" spans="1:15" ht="30" customHeight="1" x14ac:dyDescent="0.2">
      <c r="A16" s="59">
        <v>8</v>
      </c>
      <c r="B16" s="540"/>
      <c r="C16" s="537"/>
      <c r="D16" s="537"/>
      <c r="E16" s="537"/>
      <c r="F16" s="537"/>
      <c r="G16" s="537"/>
      <c r="H16" s="537"/>
      <c r="I16" s="537"/>
      <c r="J16" s="537"/>
      <c r="K16" s="537"/>
      <c r="L16" s="537"/>
      <c r="M16" s="537"/>
      <c r="N16" s="538"/>
      <c r="O16" s="539"/>
    </row>
    <row r="17" spans="1:15" ht="30.75" customHeight="1" x14ac:dyDescent="0.2">
      <c r="A17" s="59">
        <v>9</v>
      </c>
      <c r="B17" s="542"/>
      <c r="C17" s="543"/>
      <c r="D17" s="537"/>
      <c r="E17" s="537"/>
      <c r="F17" s="537"/>
      <c r="G17" s="537"/>
      <c r="H17" s="537"/>
      <c r="I17" s="537"/>
      <c r="J17" s="537"/>
      <c r="K17" s="537"/>
      <c r="L17" s="537"/>
      <c r="M17" s="537"/>
      <c r="N17" s="538"/>
      <c r="O17" s="539"/>
    </row>
    <row r="18" spans="1:15" ht="30" customHeight="1" x14ac:dyDescent="0.2">
      <c r="A18" s="59">
        <v>10</v>
      </c>
      <c r="B18" s="540"/>
      <c r="C18" s="537"/>
      <c r="D18" s="537"/>
      <c r="E18" s="537"/>
      <c r="F18" s="537"/>
      <c r="G18" s="537"/>
      <c r="H18" s="537"/>
      <c r="I18" s="537"/>
      <c r="J18" s="537"/>
      <c r="K18" s="537"/>
      <c r="L18" s="537"/>
      <c r="M18" s="537"/>
      <c r="N18" s="538"/>
      <c r="O18" s="539"/>
    </row>
    <row r="19" spans="1:15" ht="27.75" customHeight="1" x14ac:dyDescent="0.2">
      <c r="A19" s="267">
        <v>11</v>
      </c>
      <c r="B19" s="544"/>
      <c r="C19" s="541"/>
      <c r="D19" s="541"/>
      <c r="E19" s="541"/>
      <c r="F19" s="541"/>
      <c r="G19" s="541"/>
      <c r="H19" s="541"/>
      <c r="I19" s="541"/>
      <c r="J19" s="541"/>
      <c r="K19" s="541"/>
      <c r="L19" s="541"/>
      <c r="M19" s="541"/>
      <c r="N19" s="545"/>
      <c r="O19" s="546"/>
    </row>
    <row r="20" spans="1:15" ht="28.5" customHeight="1" x14ac:dyDescent="0.2">
      <c r="A20" s="59">
        <v>12</v>
      </c>
      <c r="B20" s="540"/>
      <c r="C20" s="537"/>
      <c r="D20" s="537"/>
      <c r="E20" s="537"/>
      <c r="F20" s="537"/>
      <c r="G20" s="537"/>
      <c r="H20" s="537"/>
      <c r="I20" s="537"/>
      <c r="J20" s="537"/>
      <c r="K20" s="537"/>
      <c r="L20" s="537"/>
      <c r="M20" s="537"/>
      <c r="N20" s="538"/>
      <c r="O20" s="539"/>
    </row>
    <row r="21" spans="1:15" ht="19.5" thickBot="1" x14ac:dyDescent="0.25">
      <c r="A21" s="60">
        <v>13</v>
      </c>
      <c r="B21" s="536"/>
      <c r="C21" s="533"/>
      <c r="D21" s="533"/>
      <c r="E21" s="533"/>
      <c r="F21" s="533"/>
      <c r="G21" s="533"/>
      <c r="H21" s="533"/>
      <c r="I21" s="533"/>
      <c r="J21" s="533"/>
      <c r="K21" s="533"/>
      <c r="L21" s="533"/>
      <c r="M21" s="533"/>
      <c r="N21" s="534"/>
      <c r="O21" s="535"/>
    </row>
    <row r="32" spans="1:15" ht="15.75" customHeight="1" x14ac:dyDescent="0.2"/>
    <row r="33" ht="14.25" customHeight="1" x14ac:dyDescent="0.2"/>
  </sheetData>
  <mergeCells count="101">
    <mergeCell ref="N9:O9"/>
    <mergeCell ref="B10:C10"/>
    <mergeCell ref="D10:E10"/>
    <mergeCell ref="H10:I10"/>
    <mergeCell ref="J10:K10"/>
    <mergeCell ref="L10:M10"/>
    <mergeCell ref="N10:O10"/>
    <mergeCell ref="F10:G10"/>
    <mergeCell ref="L8:M8"/>
    <mergeCell ref="N8:O8"/>
    <mergeCell ref="B9:C9"/>
    <mergeCell ref="D9:E9"/>
    <mergeCell ref="F9:G9"/>
    <mergeCell ref="L9:M9"/>
    <mergeCell ref="B8:C8"/>
    <mergeCell ref="D8:E8"/>
    <mergeCell ref="F8:G8"/>
    <mergeCell ref="H8:I8"/>
    <mergeCell ref="J8:K8"/>
    <mergeCell ref="H9:I9"/>
    <mergeCell ref="J9:K9"/>
    <mergeCell ref="A3:C3"/>
    <mergeCell ref="A4:C4"/>
    <mergeCell ref="G3:J5"/>
    <mergeCell ref="B11:C11"/>
    <mergeCell ref="D11:E11"/>
    <mergeCell ref="H11:I11"/>
    <mergeCell ref="J11:K11"/>
    <mergeCell ref="L11:M11"/>
    <mergeCell ref="F11:G11"/>
    <mergeCell ref="N11:O11"/>
    <mergeCell ref="B12:C12"/>
    <mergeCell ref="D12:E12"/>
    <mergeCell ref="F12:G12"/>
    <mergeCell ref="H12:I12"/>
    <mergeCell ref="J12:K12"/>
    <mergeCell ref="L13:M13"/>
    <mergeCell ref="N13:O13"/>
    <mergeCell ref="B13:C13"/>
    <mergeCell ref="D13:E13"/>
    <mergeCell ref="F13:G13"/>
    <mergeCell ref="H13:I13"/>
    <mergeCell ref="J13:K13"/>
    <mergeCell ref="L12:M12"/>
    <mergeCell ref="N12:O12"/>
    <mergeCell ref="B14:C14"/>
    <mergeCell ref="D14:E14"/>
    <mergeCell ref="F14:G14"/>
    <mergeCell ref="B15:C15"/>
    <mergeCell ref="D15:E15"/>
    <mergeCell ref="F15:G15"/>
    <mergeCell ref="L15:M15"/>
    <mergeCell ref="N15:O15"/>
    <mergeCell ref="H15:I15"/>
    <mergeCell ref="J15:K15"/>
    <mergeCell ref="N14:O14"/>
    <mergeCell ref="H14:I14"/>
    <mergeCell ref="J14:K14"/>
    <mergeCell ref="L14:M14"/>
    <mergeCell ref="N19:O19"/>
    <mergeCell ref="N16:O16"/>
    <mergeCell ref="N17:O17"/>
    <mergeCell ref="L18:M18"/>
    <mergeCell ref="N18:O18"/>
    <mergeCell ref="L17:M17"/>
    <mergeCell ref="H16:I16"/>
    <mergeCell ref="J16:K16"/>
    <mergeCell ref="L16:M16"/>
    <mergeCell ref="B16:C16"/>
    <mergeCell ref="D16:E16"/>
    <mergeCell ref="F16:G16"/>
    <mergeCell ref="L19:M19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L21:M21"/>
    <mergeCell ref="N21:O21"/>
    <mergeCell ref="B21:C21"/>
    <mergeCell ref="D21:E21"/>
    <mergeCell ref="F21:G21"/>
    <mergeCell ref="H21:I21"/>
    <mergeCell ref="J21:K21"/>
    <mergeCell ref="L20:M20"/>
    <mergeCell ref="N20:O20"/>
    <mergeCell ref="B20:C20"/>
    <mergeCell ref="D20:E20"/>
    <mergeCell ref="F20:G20"/>
    <mergeCell ref="H20:I20"/>
    <mergeCell ref="J20:K20"/>
  </mergeCells>
  <pageMargins left="0.7" right="0.7" top="0.75" bottom="0.75" header="0.3" footer="0.3"/>
  <pageSetup paperSize="9" scale="4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AC46-3DA3-4DC8-BDB6-EE9127792084}">
  <dimension ref="A1:T97"/>
  <sheetViews>
    <sheetView rightToLeft="1" topLeftCell="A46" zoomScaleNormal="100" zoomScaleSheetLayoutView="115" workbookViewId="0">
      <selection activeCell="P76" sqref="P76"/>
    </sheetView>
  </sheetViews>
  <sheetFormatPr defaultRowHeight="14.25" x14ac:dyDescent="0.2"/>
  <cols>
    <col min="1" max="1" width="9.75" customWidth="1"/>
    <col min="2" max="2" width="10.25" customWidth="1"/>
    <col min="8" max="8" width="9.875" customWidth="1"/>
    <col min="11" max="11" width="10.25" customWidth="1"/>
    <col min="12" max="12" width="11.375" customWidth="1"/>
    <col min="13" max="13" width="10.875" customWidth="1"/>
    <col min="17" max="17" width="19.75" customWidth="1"/>
  </cols>
  <sheetData>
    <row r="1" spans="1:20" ht="15.75" x14ac:dyDescent="0.2">
      <c r="A1" s="335" t="s">
        <v>68</v>
      </c>
      <c r="B1" s="335"/>
      <c r="C1" s="335"/>
      <c r="D1" s="335"/>
      <c r="E1" s="335"/>
      <c r="F1" s="335"/>
      <c r="G1" s="15"/>
      <c r="H1" s="15"/>
      <c r="I1" s="16"/>
      <c r="J1" s="16"/>
      <c r="K1" s="16"/>
    </row>
    <row r="2" spans="1:20" ht="15.75" x14ac:dyDescent="0.2">
      <c r="A2" s="79"/>
      <c r="B2" s="335" t="s">
        <v>11</v>
      </c>
      <c r="C2" s="335"/>
      <c r="D2" s="335"/>
      <c r="E2" s="80"/>
      <c r="F2" s="79"/>
      <c r="G2" s="337"/>
      <c r="H2" s="337"/>
      <c r="I2" s="337"/>
      <c r="J2" s="337"/>
      <c r="K2" s="16"/>
    </row>
    <row r="3" spans="1:20" ht="15.75" x14ac:dyDescent="0.2">
      <c r="A3" s="79"/>
      <c r="B3" s="335" t="s">
        <v>12</v>
      </c>
      <c r="C3" s="335"/>
      <c r="D3" s="335"/>
      <c r="E3" s="80"/>
      <c r="F3" s="79"/>
      <c r="G3" s="337"/>
      <c r="H3" s="337"/>
      <c r="I3" s="337"/>
      <c r="J3" s="337"/>
      <c r="K3" s="16"/>
    </row>
    <row r="4" spans="1:20" x14ac:dyDescent="0.2">
      <c r="A4" s="81"/>
      <c r="B4" s="82"/>
      <c r="C4" s="82"/>
      <c r="D4" s="82"/>
      <c r="E4" s="83"/>
      <c r="F4" s="81"/>
      <c r="G4" s="15"/>
      <c r="H4" s="15"/>
      <c r="I4" s="16"/>
      <c r="J4" s="16"/>
      <c r="K4" s="16"/>
    </row>
    <row r="5" spans="1:20" x14ac:dyDescent="0.2">
      <c r="A5" s="15"/>
      <c r="B5" s="15"/>
      <c r="C5" s="15"/>
      <c r="D5" s="17"/>
      <c r="E5" s="15"/>
      <c r="F5" s="17"/>
      <c r="G5" s="15"/>
      <c r="H5" s="15"/>
      <c r="I5" s="16"/>
      <c r="J5" s="16"/>
      <c r="K5" s="16"/>
    </row>
    <row r="6" spans="1:20" ht="27" customHeight="1" x14ac:dyDescent="0.2">
      <c r="H6" s="486" t="s">
        <v>326</v>
      </c>
      <c r="I6" s="486"/>
      <c r="J6" s="486"/>
    </row>
    <row r="7" spans="1:20" ht="15" thickBot="1" x14ac:dyDescent="0.25"/>
    <row r="8" spans="1:20" ht="30" customHeight="1" x14ac:dyDescent="0.2">
      <c r="A8" s="197" t="s">
        <v>71</v>
      </c>
      <c r="B8" s="197" t="s">
        <v>1</v>
      </c>
      <c r="C8" s="197" t="s">
        <v>261</v>
      </c>
      <c r="D8" s="197" t="s">
        <v>257</v>
      </c>
      <c r="E8" s="197" t="s">
        <v>262</v>
      </c>
      <c r="F8" s="197" t="s">
        <v>180</v>
      </c>
      <c r="G8" s="197" t="s">
        <v>263</v>
      </c>
      <c r="H8" s="197" t="s">
        <v>264</v>
      </c>
      <c r="I8" s="197" t="s">
        <v>265</v>
      </c>
      <c r="J8" s="197" t="s">
        <v>185</v>
      </c>
      <c r="K8" s="197" t="s">
        <v>266</v>
      </c>
      <c r="L8" s="197" t="s">
        <v>267</v>
      </c>
      <c r="M8" s="197" t="s">
        <v>268</v>
      </c>
      <c r="N8" s="197" t="s">
        <v>269</v>
      </c>
      <c r="O8" s="197" t="s">
        <v>271</v>
      </c>
      <c r="P8" s="197" t="s">
        <v>270</v>
      </c>
      <c r="Q8" s="198" t="s">
        <v>272</v>
      </c>
    </row>
    <row r="9" spans="1:20" ht="18" customHeight="1" x14ac:dyDescent="0.2">
      <c r="A9" s="199" t="s">
        <v>283</v>
      </c>
      <c r="B9" s="201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195"/>
    </row>
    <row r="10" spans="1:20" ht="20.25" x14ac:dyDescent="0.2">
      <c r="A10" s="199" t="s">
        <v>284</v>
      </c>
      <c r="B10" s="201">
        <v>45047</v>
      </c>
      <c r="C10" s="268" t="s">
        <v>172</v>
      </c>
      <c r="D10" s="268" t="s">
        <v>172</v>
      </c>
      <c r="E10" s="268" t="s">
        <v>172</v>
      </c>
      <c r="F10" s="268" t="s">
        <v>172</v>
      </c>
      <c r="G10" s="268" t="s">
        <v>172</v>
      </c>
      <c r="H10" s="268" t="s">
        <v>172</v>
      </c>
      <c r="I10" s="268" t="s">
        <v>172</v>
      </c>
      <c r="J10" s="268" t="s">
        <v>172</v>
      </c>
      <c r="K10" s="268" t="s">
        <v>172</v>
      </c>
      <c r="L10" s="268" t="s">
        <v>172</v>
      </c>
      <c r="M10" s="268" t="s">
        <v>172</v>
      </c>
      <c r="N10" s="268" t="s">
        <v>172</v>
      </c>
      <c r="O10" s="268" t="s">
        <v>172</v>
      </c>
      <c r="P10" s="268" t="s">
        <v>172</v>
      </c>
      <c r="Q10" s="214"/>
    </row>
    <row r="11" spans="1:20" ht="20.25" x14ac:dyDescent="0.2">
      <c r="A11" s="199" t="s">
        <v>134</v>
      </c>
      <c r="B11" s="201">
        <v>45048</v>
      </c>
      <c r="C11" s="268" t="s">
        <v>172</v>
      </c>
      <c r="D11" s="268" t="s">
        <v>172</v>
      </c>
      <c r="E11" s="268" t="s">
        <v>172</v>
      </c>
      <c r="F11" s="268" t="s">
        <v>172</v>
      </c>
      <c r="G11" s="268" t="s">
        <v>172</v>
      </c>
      <c r="H11" s="268" t="s">
        <v>172</v>
      </c>
      <c r="I11" s="268" t="s">
        <v>172</v>
      </c>
      <c r="J11" s="268" t="s">
        <v>172</v>
      </c>
      <c r="K11" s="268" t="s">
        <v>172</v>
      </c>
      <c r="L11" s="268" t="s">
        <v>172</v>
      </c>
      <c r="M11" s="268" t="s">
        <v>172</v>
      </c>
      <c r="N11" s="268" t="s">
        <v>172</v>
      </c>
      <c r="O11" s="268" t="s">
        <v>172</v>
      </c>
      <c r="P11" s="268" t="s">
        <v>172</v>
      </c>
      <c r="Q11" s="214"/>
    </row>
    <row r="12" spans="1:20" ht="20.25" x14ac:dyDescent="0.2">
      <c r="A12" s="199" t="s">
        <v>129</v>
      </c>
      <c r="B12" s="201">
        <v>45049</v>
      </c>
      <c r="C12" s="268" t="s">
        <v>172</v>
      </c>
      <c r="D12" s="268" t="s">
        <v>172</v>
      </c>
      <c r="E12" s="268" t="s">
        <v>172</v>
      </c>
      <c r="F12" s="268" t="s">
        <v>172</v>
      </c>
      <c r="G12" s="268" t="s">
        <v>172</v>
      </c>
      <c r="H12" s="268" t="s">
        <v>172</v>
      </c>
      <c r="I12" s="268" t="s">
        <v>172</v>
      </c>
      <c r="J12" s="268" t="s">
        <v>172</v>
      </c>
      <c r="K12" s="268" t="s">
        <v>172</v>
      </c>
      <c r="L12" s="268" t="s">
        <v>172</v>
      </c>
      <c r="M12" s="268" t="s">
        <v>172</v>
      </c>
      <c r="N12" s="268" t="s">
        <v>172</v>
      </c>
      <c r="O12" s="268" t="s">
        <v>172</v>
      </c>
      <c r="P12" s="268" t="s">
        <v>172</v>
      </c>
      <c r="Q12" s="214"/>
    </row>
    <row r="13" spans="1:20" ht="20.25" x14ac:dyDescent="0.2">
      <c r="A13" s="199" t="s">
        <v>135</v>
      </c>
      <c r="B13" s="201">
        <v>45050</v>
      </c>
      <c r="C13" s="268" t="s">
        <v>172</v>
      </c>
      <c r="D13" s="268" t="s">
        <v>172</v>
      </c>
      <c r="E13" s="268" t="s">
        <v>172</v>
      </c>
      <c r="F13" s="268" t="s">
        <v>172</v>
      </c>
      <c r="G13" s="268" t="s">
        <v>172</v>
      </c>
      <c r="H13" s="268" t="s">
        <v>172</v>
      </c>
      <c r="I13" s="268" t="s">
        <v>172</v>
      </c>
      <c r="J13" s="268" t="s">
        <v>172</v>
      </c>
      <c r="K13" s="268" t="s">
        <v>172</v>
      </c>
      <c r="L13" s="268" t="s">
        <v>172</v>
      </c>
      <c r="M13" s="268" t="s">
        <v>172</v>
      </c>
      <c r="N13" s="268" t="s">
        <v>172</v>
      </c>
      <c r="O13" s="268" t="s">
        <v>172</v>
      </c>
      <c r="P13" s="268" t="s">
        <v>172</v>
      </c>
      <c r="Q13" s="214"/>
    </row>
    <row r="14" spans="1:20" ht="15.75" x14ac:dyDescent="0.2">
      <c r="A14" s="199" t="s">
        <v>285</v>
      </c>
      <c r="B14" s="201">
        <v>45051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214"/>
    </row>
    <row r="15" spans="1:20" ht="16.5" thickBot="1" x14ac:dyDescent="0.25">
      <c r="A15" s="269"/>
      <c r="B15" s="270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15"/>
      <c r="T15" t="s">
        <v>273</v>
      </c>
    </row>
    <row r="22" spans="1:18" ht="15.75" x14ac:dyDescent="0.2">
      <c r="A22" s="335" t="s">
        <v>68</v>
      </c>
      <c r="B22" s="335"/>
      <c r="C22" s="335"/>
      <c r="D22" s="335"/>
      <c r="E22" s="335"/>
      <c r="F22" s="335"/>
      <c r="G22" s="15"/>
      <c r="H22" s="15"/>
      <c r="I22" s="16"/>
      <c r="J22" s="16"/>
      <c r="K22" s="16"/>
    </row>
    <row r="23" spans="1:18" ht="15.75" x14ac:dyDescent="0.2">
      <c r="A23" s="79"/>
      <c r="B23" s="335" t="s">
        <v>11</v>
      </c>
      <c r="C23" s="335"/>
      <c r="D23" s="335"/>
      <c r="E23" s="80"/>
      <c r="F23" s="79"/>
      <c r="G23" s="337"/>
      <c r="H23" s="337"/>
      <c r="I23" s="337"/>
      <c r="J23" s="337"/>
      <c r="K23" s="16"/>
    </row>
    <row r="24" spans="1:18" ht="15.75" x14ac:dyDescent="0.2">
      <c r="A24" s="79"/>
      <c r="B24" s="335" t="s">
        <v>12</v>
      </c>
      <c r="C24" s="335"/>
      <c r="D24" s="335"/>
      <c r="E24" s="80"/>
      <c r="F24" s="79"/>
      <c r="G24" s="337"/>
      <c r="H24" s="337"/>
      <c r="I24" s="337"/>
      <c r="J24" s="337"/>
      <c r="K24" s="16"/>
    </row>
    <row r="25" spans="1:18" x14ac:dyDescent="0.2">
      <c r="A25" s="81"/>
      <c r="B25" s="82"/>
      <c r="C25" s="82"/>
      <c r="D25" s="82"/>
      <c r="E25" s="83"/>
      <c r="F25" s="81"/>
      <c r="G25" s="15"/>
      <c r="H25" s="15"/>
      <c r="I25" s="16"/>
      <c r="J25" s="16"/>
      <c r="K25" s="16"/>
    </row>
    <row r="26" spans="1:18" x14ac:dyDescent="0.2">
      <c r="A26" s="15"/>
      <c r="B26" s="15"/>
      <c r="C26" s="15"/>
      <c r="D26" s="17"/>
      <c r="E26" s="15"/>
      <c r="F26" s="17"/>
      <c r="G26" s="15"/>
      <c r="H26" s="15"/>
      <c r="I26" s="16"/>
      <c r="J26" s="16"/>
      <c r="K26" s="16"/>
    </row>
    <row r="27" spans="1:18" ht="18" x14ac:dyDescent="0.2">
      <c r="H27" s="486" t="s">
        <v>327</v>
      </c>
      <c r="I27" s="486"/>
      <c r="J27" s="486"/>
    </row>
    <row r="28" spans="1:18" ht="15" thickBot="1" x14ac:dyDescent="0.25"/>
    <row r="29" spans="1:18" ht="15.75" x14ac:dyDescent="0.2">
      <c r="A29" s="197" t="s">
        <v>71</v>
      </c>
      <c r="B29" s="197" t="s">
        <v>1</v>
      </c>
      <c r="C29" s="197" t="s">
        <v>261</v>
      </c>
      <c r="D29" s="197" t="s">
        <v>257</v>
      </c>
      <c r="E29" s="197" t="s">
        <v>262</v>
      </c>
      <c r="F29" s="197" t="s">
        <v>180</v>
      </c>
      <c r="G29" s="197" t="s">
        <v>263</v>
      </c>
      <c r="H29" s="197" t="s">
        <v>264</v>
      </c>
      <c r="I29" s="197" t="s">
        <v>265</v>
      </c>
      <c r="J29" s="197" t="s">
        <v>185</v>
      </c>
      <c r="K29" s="197" t="s">
        <v>266</v>
      </c>
      <c r="L29" s="197" t="s">
        <v>267</v>
      </c>
      <c r="M29" s="197" t="s">
        <v>268</v>
      </c>
      <c r="N29" s="197" t="s">
        <v>269</v>
      </c>
      <c r="O29" s="197" t="s">
        <v>271</v>
      </c>
      <c r="P29" s="197" t="s">
        <v>270</v>
      </c>
      <c r="Q29" s="198"/>
      <c r="R29" s="242"/>
    </row>
    <row r="30" spans="1:18" ht="15.75" x14ac:dyDescent="0.2">
      <c r="A30" s="199" t="s">
        <v>131</v>
      </c>
      <c r="B30" s="201">
        <v>45052</v>
      </c>
      <c r="C30" s="62" t="s">
        <v>172</v>
      </c>
      <c r="D30" s="62" t="s">
        <v>172</v>
      </c>
      <c r="E30" s="62" t="s">
        <v>172</v>
      </c>
      <c r="F30" s="62" t="s">
        <v>172</v>
      </c>
      <c r="G30" s="62" t="s">
        <v>172</v>
      </c>
      <c r="H30" s="62" t="s">
        <v>172</v>
      </c>
      <c r="I30" s="62" t="s">
        <v>172</v>
      </c>
      <c r="J30" s="62" t="s">
        <v>172</v>
      </c>
      <c r="K30" s="62" t="s">
        <v>172</v>
      </c>
      <c r="L30" s="62" t="s">
        <v>172</v>
      </c>
      <c r="M30" s="62" t="s">
        <v>172</v>
      </c>
      <c r="N30" s="62" t="s">
        <v>172</v>
      </c>
      <c r="O30" s="62" t="s">
        <v>172</v>
      </c>
      <c r="P30" s="62" t="s">
        <v>172</v>
      </c>
      <c r="Q30" s="243"/>
    </row>
    <row r="31" spans="1:18" ht="15.75" x14ac:dyDescent="0.2">
      <c r="A31" s="199" t="s">
        <v>132</v>
      </c>
      <c r="B31" s="201">
        <v>45053</v>
      </c>
      <c r="C31" s="62" t="s">
        <v>172</v>
      </c>
      <c r="D31" s="62" t="s">
        <v>172</v>
      </c>
      <c r="E31" s="62" t="s">
        <v>172</v>
      </c>
      <c r="F31" s="62" t="s">
        <v>172</v>
      </c>
      <c r="G31" s="62" t="s">
        <v>172</v>
      </c>
      <c r="H31" s="62" t="s">
        <v>172</v>
      </c>
      <c r="I31" s="62" t="s">
        <v>172</v>
      </c>
      <c r="J31" s="62" t="s">
        <v>172</v>
      </c>
      <c r="K31" s="62" t="s">
        <v>172</v>
      </c>
      <c r="L31" s="62" t="s">
        <v>172</v>
      </c>
      <c r="M31" s="62" t="s">
        <v>172</v>
      </c>
      <c r="N31" s="62" t="s">
        <v>172</v>
      </c>
      <c r="O31" s="62" t="s">
        <v>172</v>
      </c>
      <c r="P31" s="62" t="s">
        <v>172</v>
      </c>
      <c r="Q31" s="225"/>
    </row>
    <row r="32" spans="1:18" ht="15.75" x14ac:dyDescent="0.2">
      <c r="A32" s="199" t="s">
        <v>133</v>
      </c>
      <c r="B32" s="201">
        <v>45054</v>
      </c>
      <c r="C32" s="62" t="s">
        <v>172</v>
      </c>
      <c r="D32" s="62" t="s">
        <v>172</v>
      </c>
      <c r="E32" s="62" t="s">
        <v>172</v>
      </c>
      <c r="F32" s="62" t="s">
        <v>172</v>
      </c>
      <c r="G32" s="62" t="s">
        <v>172</v>
      </c>
      <c r="H32" s="62" t="s">
        <v>172</v>
      </c>
      <c r="I32" s="62" t="s">
        <v>172</v>
      </c>
      <c r="J32" s="62" t="s">
        <v>172</v>
      </c>
      <c r="K32" s="62" t="s">
        <v>172</v>
      </c>
      <c r="L32" s="62" t="s">
        <v>172</v>
      </c>
      <c r="M32" s="62" t="s">
        <v>172</v>
      </c>
      <c r="N32" s="62" t="s">
        <v>172</v>
      </c>
      <c r="O32" s="62" t="s">
        <v>172</v>
      </c>
      <c r="P32" s="62" t="s">
        <v>172</v>
      </c>
      <c r="Q32" s="195"/>
    </row>
    <row r="33" spans="1:17" ht="15.75" x14ac:dyDescent="0.2">
      <c r="A33" s="199" t="s">
        <v>134</v>
      </c>
      <c r="B33" s="201">
        <v>45055</v>
      </c>
      <c r="C33" s="62" t="s">
        <v>172</v>
      </c>
      <c r="D33" s="62" t="s">
        <v>172</v>
      </c>
      <c r="E33" s="62" t="s">
        <v>172</v>
      </c>
      <c r="F33" s="62" t="s">
        <v>172</v>
      </c>
      <c r="G33" s="62" t="s">
        <v>172</v>
      </c>
      <c r="H33" s="62" t="s">
        <v>172</v>
      </c>
      <c r="I33" s="62" t="s">
        <v>172</v>
      </c>
      <c r="J33" s="62" t="s">
        <v>172</v>
      </c>
      <c r="K33" s="62" t="s">
        <v>172</v>
      </c>
      <c r="L33" s="62" t="s">
        <v>172</v>
      </c>
      <c r="M33" s="62" t="s">
        <v>172</v>
      </c>
      <c r="N33" s="62" t="s">
        <v>172</v>
      </c>
      <c r="O33" s="62" t="s">
        <v>172</v>
      </c>
      <c r="P33" s="62" t="s">
        <v>172</v>
      </c>
      <c r="Q33" s="62"/>
    </row>
    <row r="34" spans="1:17" ht="15.75" x14ac:dyDescent="0.2">
      <c r="A34" s="199" t="s">
        <v>129</v>
      </c>
      <c r="B34" s="201">
        <v>45056</v>
      </c>
      <c r="C34" s="62" t="s">
        <v>172</v>
      </c>
      <c r="D34" s="62" t="s">
        <v>172</v>
      </c>
      <c r="E34" s="62" t="s">
        <v>172</v>
      </c>
      <c r="F34" s="62" t="s">
        <v>172</v>
      </c>
      <c r="G34" s="62" t="s">
        <v>172</v>
      </c>
      <c r="H34" s="62" t="s">
        <v>172</v>
      </c>
      <c r="I34" s="62" t="s">
        <v>172</v>
      </c>
      <c r="J34" s="62" t="s">
        <v>172</v>
      </c>
      <c r="K34" s="62" t="s">
        <v>172</v>
      </c>
      <c r="L34" s="62" t="s">
        <v>172</v>
      </c>
      <c r="M34" s="62" t="s">
        <v>172</v>
      </c>
      <c r="N34" s="62" t="s">
        <v>172</v>
      </c>
      <c r="O34" s="62" t="s">
        <v>172</v>
      </c>
      <c r="P34" s="62" t="s">
        <v>172</v>
      </c>
      <c r="Q34" s="195"/>
    </row>
    <row r="35" spans="1:17" ht="15.75" x14ac:dyDescent="0.2">
      <c r="A35" s="199" t="s">
        <v>135</v>
      </c>
      <c r="B35" s="201">
        <v>45057</v>
      </c>
      <c r="C35" s="62" t="s">
        <v>172</v>
      </c>
      <c r="D35" s="62" t="s">
        <v>172</v>
      </c>
      <c r="E35" s="62" t="s">
        <v>172</v>
      </c>
      <c r="F35" s="62" t="s">
        <v>172</v>
      </c>
      <c r="G35" s="62" t="s">
        <v>172</v>
      </c>
      <c r="H35" s="62" t="s">
        <v>172</v>
      </c>
      <c r="I35" s="62" t="s">
        <v>172</v>
      </c>
      <c r="J35" s="62" t="s">
        <v>172</v>
      </c>
      <c r="K35" s="62" t="s">
        <v>172</v>
      </c>
      <c r="L35" s="62" t="s">
        <v>172</v>
      </c>
      <c r="M35" s="62" t="s">
        <v>172</v>
      </c>
      <c r="N35" s="62" t="s">
        <v>172</v>
      </c>
      <c r="O35" s="62" t="s">
        <v>172</v>
      </c>
      <c r="P35" s="62" t="s">
        <v>172</v>
      </c>
      <c r="Q35" s="214"/>
    </row>
    <row r="36" spans="1:17" ht="16.5" thickBot="1" x14ac:dyDescent="0.25">
      <c r="A36" s="200" t="s">
        <v>136</v>
      </c>
      <c r="B36" s="201">
        <v>45058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215"/>
    </row>
    <row r="42" spans="1:17" ht="15.75" x14ac:dyDescent="0.2">
      <c r="A42" s="335" t="s">
        <v>68</v>
      </c>
      <c r="B42" s="335"/>
      <c r="C42" s="335"/>
      <c r="D42" s="335"/>
      <c r="E42" s="335"/>
      <c r="F42" s="335"/>
      <c r="G42" s="15"/>
      <c r="H42" s="15"/>
      <c r="I42" s="16"/>
      <c r="J42" s="16"/>
      <c r="K42" s="16"/>
    </row>
    <row r="43" spans="1:17" ht="15.75" x14ac:dyDescent="0.2">
      <c r="A43" s="79"/>
      <c r="B43" s="335" t="s">
        <v>11</v>
      </c>
      <c r="C43" s="335"/>
      <c r="D43" s="335"/>
      <c r="E43" s="80"/>
      <c r="F43" s="79"/>
      <c r="G43" s="337"/>
      <c r="H43" s="337"/>
      <c r="I43" s="337"/>
      <c r="J43" s="337"/>
      <c r="K43" s="16"/>
    </row>
    <row r="44" spans="1:17" ht="15.75" x14ac:dyDescent="0.2">
      <c r="A44" s="79"/>
      <c r="B44" s="335" t="s">
        <v>12</v>
      </c>
      <c r="C44" s="335"/>
      <c r="D44" s="335"/>
      <c r="E44" s="80"/>
      <c r="F44" s="79"/>
      <c r="G44" s="337"/>
      <c r="H44" s="337"/>
      <c r="I44" s="337"/>
      <c r="J44" s="337"/>
      <c r="K44" s="16"/>
    </row>
    <row r="45" spans="1:17" x14ac:dyDescent="0.2">
      <c r="A45" s="81"/>
      <c r="B45" s="82"/>
      <c r="C45" s="82"/>
      <c r="D45" s="82"/>
      <c r="E45" s="83"/>
      <c r="F45" s="81"/>
      <c r="G45" s="15"/>
      <c r="H45" s="15"/>
      <c r="I45" s="16"/>
      <c r="J45" s="16"/>
      <c r="K45" s="16"/>
    </row>
    <row r="46" spans="1:17" x14ac:dyDescent="0.2">
      <c r="A46" s="15"/>
      <c r="B46" s="15"/>
      <c r="C46" s="15"/>
      <c r="D46" s="17"/>
      <c r="E46" s="15"/>
      <c r="F46" s="17"/>
      <c r="G46" s="15"/>
      <c r="H46" s="15"/>
      <c r="I46" s="16"/>
      <c r="J46" s="16"/>
      <c r="K46" s="16"/>
    </row>
    <row r="47" spans="1:17" ht="18" x14ac:dyDescent="0.2">
      <c r="H47" s="486" t="s">
        <v>328</v>
      </c>
      <c r="I47" s="486"/>
      <c r="J47" s="486"/>
    </row>
    <row r="48" spans="1:17" ht="15" thickBot="1" x14ac:dyDescent="0.25"/>
    <row r="49" spans="1:17" ht="15.75" x14ac:dyDescent="0.2">
      <c r="A49" s="197" t="s">
        <v>71</v>
      </c>
      <c r="B49" s="197" t="s">
        <v>1</v>
      </c>
      <c r="C49" s="197" t="s">
        <v>261</v>
      </c>
      <c r="D49" s="197" t="s">
        <v>257</v>
      </c>
      <c r="E49" s="197" t="s">
        <v>262</v>
      </c>
      <c r="F49" s="197" t="s">
        <v>180</v>
      </c>
      <c r="G49" s="197" t="s">
        <v>263</v>
      </c>
      <c r="H49" s="197" t="s">
        <v>264</v>
      </c>
      <c r="I49" s="197" t="s">
        <v>265</v>
      </c>
      <c r="J49" s="197" t="s">
        <v>185</v>
      </c>
      <c r="K49" s="197" t="s">
        <v>266</v>
      </c>
      <c r="L49" s="197" t="s">
        <v>267</v>
      </c>
      <c r="M49" s="197" t="s">
        <v>268</v>
      </c>
      <c r="N49" s="197" t="s">
        <v>269</v>
      </c>
      <c r="O49" s="197" t="s">
        <v>271</v>
      </c>
      <c r="P49" s="197" t="s">
        <v>270</v>
      </c>
      <c r="Q49" s="198" t="s">
        <v>272</v>
      </c>
    </row>
    <row r="50" spans="1:17" ht="15.75" x14ac:dyDescent="0.2">
      <c r="A50" s="199" t="s">
        <v>131</v>
      </c>
      <c r="B50" s="201">
        <v>45059</v>
      </c>
      <c r="C50" s="201" t="s">
        <v>172</v>
      </c>
      <c r="D50" s="201" t="s">
        <v>172</v>
      </c>
      <c r="E50" s="201" t="s">
        <v>172</v>
      </c>
      <c r="F50" s="201" t="s">
        <v>172</v>
      </c>
      <c r="G50" s="201" t="s">
        <v>172</v>
      </c>
      <c r="H50" s="201" t="s">
        <v>172</v>
      </c>
      <c r="I50" s="201" t="s">
        <v>172</v>
      </c>
      <c r="J50" s="201" t="s">
        <v>172</v>
      </c>
      <c r="K50" s="201" t="s">
        <v>172</v>
      </c>
      <c r="L50" s="201" t="s">
        <v>172</v>
      </c>
      <c r="M50" s="201" t="s">
        <v>172</v>
      </c>
      <c r="N50" s="201" t="s">
        <v>172</v>
      </c>
      <c r="O50" s="201" t="s">
        <v>172</v>
      </c>
      <c r="P50" s="201" t="s">
        <v>172</v>
      </c>
      <c r="Q50" s="62"/>
    </row>
    <row r="51" spans="1:17" ht="15.75" x14ac:dyDescent="0.2">
      <c r="A51" s="199" t="s">
        <v>132</v>
      </c>
      <c r="B51" s="201">
        <v>45060</v>
      </c>
      <c r="C51" s="201" t="s">
        <v>172</v>
      </c>
      <c r="D51" s="201" t="s">
        <v>172</v>
      </c>
      <c r="E51" s="201" t="s">
        <v>172</v>
      </c>
      <c r="F51" s="201" t="s">
        <v>172</v>
      </c>
      <c r="G51" s="201" t="s">
        <v>172</v>
      </c>
      <c r="H51" s="201" t="s">
        <v>172</v>
      </c>
      <c r="I51" s="201" t="s">
        <v>172</v>
      </c>
      <c r="J51" s="201" t="s">
        <v>172</v>
      </c>
      <c r="K51" s="201" t="s">
        <v>172</v>
      </c>
      <c r="L51" s="201" t="s">
        <v>172</v>
      </c>
      <c r="M51" s="201" t="s">
        <v>172</v>
      </c>
      <c r="N51" s="201" t="s">
        <v>172</v>
      </c>
      <c r="O51" s="201" t="s">
        <v>172</v>
      </c>
      <c r="P51" s="201" t="s">
        <v>172</v>
      </c>
      <c r="Q51" s="195"/>
    </row>
    <row r="52" spans="1:17" ht="15.75" x14ac:dyDescent="0.2">
      <c r="A52" s="199" t="s">
        <v>133</v>
      </c>
      <c r="B52" s="201">
        <v>45061</v>
      </c>
      <c r="C52" s="201" t="s">
        <v>172</v>
      </c>
      <c r="D52" s="201" t="s">
        <v>172</v>
      </c>
      <c r="E52" s="201" t="s">
        <v>172</v>
      </c>
      <c r="F52" s="201" t="s">
        <v>172</v>
      </c>
      <c r="G52" s="201" t="s">
        <v>172</v>
      </c>
      <c r="H52" s="201" t="s">
        <v>172</v>
      </c>
      <c r="I52" s="201" t="s">
        <v>172</v>
      </c>
      <c r="J52" s="201" t="s">
        <v>172</v>
      </c>
      <c r="K52" s="201" t="s">
        <v>172</v>
      </c>
      <c r="L52" s="201" t="s">
        <v>172</v>
      </c>
      <c r="M52" s="201" t="s">
        <v>172</v>
      </c>
      <c r="N52" s="201" t="s">
        <v>172</v>
      </c>
      <c r="O52" s="201" t="s">
        <v>172</v>
      </c>
      <c r="P52" s="201" t="s">
        <v>172</v>
      </c>
      <c r="Q52" s="195"/>
    </row>
    <row r="53" spans="1:17" ht="15.75" x14ac:dyDescent="0.2">
      <c r="A53" s="199" t="s">
        <v>134</v>
      </c>
      <c r="B53" s="201">
        <v>45062</v>
      </c>
      <c r="C53" s="201" t="s">
        <v>172</v>
      </c>
      <c r="D53" s="201" t="s">
        <v>172</v>
      </c>
      <c r="E53" s="201" t="s">
        <v>172</v>
      </c>
      <c r="F53" s="201" t="s">
        <v>172</v>
      </c>
      <c r="G53" s="201" t="s">
        <v>172</v>
      </c>
      <c r="H53" s="201" t="s">
        <v>172</v>
      </c>
      <c r="I53" s="201" t="s">
        <v>172</v>
      </c>
      <c r="J53" s="201" t="s">
        <v>172</v>
      </c>
      <c r="K53" s="201" t="s">
        <v>172</v>
      </c>
      <c r="L53" s="201" t="s">
        <v>172</v>
      </c>
      <c r="M53" s="201" t="s">
        <v>172</v>
      </c>
      <c r="N53" s="201" t="s">
        <v>172</v>
      </c>
      <c r="O53" s="201" t="s">
        <v>172</v>
      </c>
      <c r="P53" s="201" t="s">
        <v>172</v>
      </c>
      <c r="Q53" s="195"/>
    </row>
    <row r="54" spans="1:17" ht="15.75" x14ac:dyDescent="0.2">
      <c r="A54" s="199" t="s">
        <v>129</v>
      </c>
      <c r="B54" s="201">
        <v>45063</v>
      </c>
      <c r="C54" s="201" t="s">
        <v>172</v>
      </c>
      <c r="D54" s="201" t="s">
        <v>172</v>
      </c>
      <c r="E54" s="201" t="s">
        <v>172</v>
      </c>
      <c r="F54" s="201" t="s">
        <v>172</v>
      </c>
      <c r="G54" s="201" t="s">
        <v>172</v>
      </c>
      <c r="H54" s="201" t="s">
        <v>172</v>
      </c>
      <c r="I54" s="201" t="s">
        <v>172</v>
      </c>
      <c r="J54" s="201" t="s">
        <v>172</v>
      </c>
      <c r="K54" s="201" t="s">
        <v>172</v>
      </c>
      <c r="L54" s="201" t="s">
        <v>172</v>
      </c>
      <c r="M54" s="201" t="s">
        <v>172</v>
      </c>
      <c r="N54" s="201" t="s">
        <v>172</v>
      </c>
      <c r="O54" s="201" t="s">
        <v>172</v>
      </c>
      <c r="P54" s="201" t="s">
        <v>172</v>
      </c>
      <c r="Q54" s="195"/>
    </row>
    <row r="55" spans="1:17" ht="15.75" x14ac:dyDescent="0.2">
      <c r="A55" s="199" t="s">
        <v>135</v>
      </c>
      <c r="B55" s="201">
        <v>45064</v>
      </c>
      <c r="C55" s="201" t="s">
        <v>172</v>
      </c>
      <c r="D55" s="201" t="s">
        <v>172</v>
      </c>
      <c r="E55" s="201" t="s">
        <v>172</v>
      </c>
      <c r="F55" s="201" t="s">
        <v>172</v>
      </c>
      <c r="G55" s="201" t="s">
        <v>172</v>
      </c>
      <c r="H55" s="201" t="s">
        <v>172</v>
      </c>
      <c r="I55" s="201" t="s">
        <v>172</v>
      </c>
      <c r="J55" s="201" t="s">
        <v>172</v>
      </c>
      <c r="K55" s="201" t="s">
        <v>172</v>
      </c>
      <c r="L55" s="201" t="s">
        <v>172</v>
      </c>
      <c r="M55" s="201" t="s">
        <v>172</v>
      </c>
      <c r="N55" s="201" t="s">
        <v>172</v>
      </c>
      <c r="O55" s="201" t="s">
        <v>172</v>
      </c>
      <c r="P55" s="201" t="s">
        <v>172</v>
      </c>
      <c r="Q55" s="195"/>
    </row>
    <row r="56" spans="1:17" ht="16.5" thickBot="1" x14ac:dyDescent="0.25">
      <c r="A56" s="200" t="s">
        <v>136</v>
      </c>
      <c r="B56" s="201">
        <v>45065</v>
      </c>
      <c r="C56" s="201"/>
      <c r="D56" s="62"/>
      <c r="E56" s="250"/>
      <c r="F56" s="62"/>
      <c r="G56" s="251"/>
      <c r="H56" s="62"/>
      <c r="I56" s="62"/>
      <c r="J56" s="62"/>
      <c r="K56" s="62"/>
      <c r="L56" s="62"/>
      <c r="M56" s="62"/>
      <c r="N56" s="62"/>
      <c r="O56" s="62"/>
      <c r="P56" s="62"/>
      <c r="Q56" s="196"/>
    </row>
    <row r="63" spans="1:17" ht="15.75" x14ac:dyDescent="0.2">
      <c r="A63" s="335" t="s">
        <v>68</v>
      </c>
      <c r="B63" s="335"/>
      <c r="C63" s="335"/>
      <c r="D63" s="335"/>
      <c r="E63" s="335"/>
      <c r="F63" s="335"/>
      <c r="G63" s="15"/>
      <c r="H63" s="15"/>
      <c r="I63" s="16"/>
      <c r="J63" s="16"/>
      <c r="K63" s="16"/>
    </row>
    <row r="64" spans="1:17" ht="15.75" x14ac:dyDescent="0.2">
      <c r="A64" s="79"/>
      <c r="B64" s="335" t="s">
        <v>11</v>
      </c>
      <c r="C64" s="335"/>
      <c r="D64" s="335"/>
      <c r="E64" s="80"/>
      <c r="F64" s="79"/>
      <c r="G64" s="337"/>
      <c r="H64" s="337"/>
      <c r="I64" s="337"/>
      <c r="J64" s="337"/>
      <c r="K64" s="16"/>
    </row>
    <row r="65" spans="1:17" ht="15.75" x14ac:dyDescent="0.2">
      <c r="A65" s="79"/>
      <c r="B65" s="335" t="s">
        <v>12</v>
      </c>
      <c r="C65" s="335"/>
      <c r="D65" s="335"/>
      <c r="E65" s="80"/>
      <c r="F65" s="79"/>
      <c r="G65" s="337"/>
      <c r="H65" s="337"/>
      <c r="I65" s="337"/>
      <c r="J65" s="337"/>
      <c r="K65" s="16"/>
    </row>
    <row r="66" spans="1:17" x14ac:dyDescent="0.2">
      <c r="A66" s="81"/>
      <c r="B66" s="82"/>
      <c r="C66" s="16"/>
      <c r="D66" s="16"/>
      <c r="E66" s="16"/>
      <c r="F66" s="16"/>
      <c r="G66" s="16"/>
      <c r="H66" s="15"/>
      <c r="I66" s="16"/>
      <c r="J66" s="16"/>
      <c r="K66" s="16"/>
    </row>
    <row r="67" spans="1:17" x14ac:dyDescent="0.2">
      <c r="A67" s="15"/>
      <c r="B67" s="15"/>
      <c r="C67" s="16"/>
      <c r="D67" s="16"/>
      <c r="E67" s="16"/>
      <c r="F67" s="16"/>
      <c r="G67" s="16"/>
      <c r="H67" s="15"/>
      <c r="I67" s="16"/>
      <c r="J67" s="16"/>
      <c r="K67" s="16"/>
    </row>
    <row r="68" spans="1:17" ht="20.25" x14ac:dyDescent="0.3">
      <c r="C68" s="16"/>
      <c r="D68" s="16"/>
      <c r="E68" s="16"/>
      <c r="F68" s="16"/>
      <c r="H68" s="284" t="s">
        <v>329</v>
      </c>
    </row>
    <row r="69" spans="1:17" ht="15" thickBot="1" x14ac:dyDescent="0.25"/>
    <row r="70" spans="1:17" ht="15.75" x14ac:dyDescent="0.2">
      <c r="A70" s="197" t="s">
        <v>71</v>
      </c>
      <c r="B70" s="197" t="s">
        <v>42</v>
      </c>
      <c r="C70" s="197" t="s">
        <v>261</v>
      </c>
      <c r="D70" s="197" t="s">
        <v>257</v>
      </c>
      <c r="E70" s="197" t="s">
        <v>262</v>
      </c>
      <c r="F70" s="197" t="s">
        <v>180</v>
      </c>
      <c r="G70" s="197" t="s">
        <v>263</v>
      </c>
      <c r="H70" s="197" t="s">
        <v>264</v>
      </c>
      <c r="I70" s="197" t="s">
        <v>183</v>
      </c>
      <c r="J70" s="197" t="s">
        <v>185</v>
      </c>
      <c r="K70" s="197" t="s">
        <v>266</v>
      </c>
      <c r="L70" s="197" t="s">
        <v>267</v>
      </c>
      <c r="M70" s="197" t="s">
        <v>268</v>
      </c>
      <c r="N70" s="197" t="s">
        <v>269</v>
      </c>
      <c r="O70" s="197" t="s">
        <v>271</v>
      </c>
      <c r="P70" s="197" t="s">
        <v>270</v>
      </c>
      <c r="Q70" s="198" t="s">
        <v>272</v>
      </c>
    </row>
    <row r="71" spans="1:17" ht="15.75" x14ac:dyDescent="0.2">
      <c r="A71" s="199" t="s">
        <v>131</v>
      </c>
      <c r="B71" s="201">
        <v>45066</v>
      </c>
      <c r="C71" s="201" t="s">
        <v>172</v>
      </c>
      <c r="D71" s="201" t="s">
        <v>172</v>
      </c>
      <c r="E71" s="201" t="s">
        <v>172</v>
      </c>
      <c r="F71" s="201" t="s">
        <v>172</v>
      </c>
      <c r="G71" s="201" t="s">
        <v>172</v>
      </c>
      <c r="H71" s="201" t="s">
        <v>172</v>
      </c>
      <c r="I71" s="201" t="s">
        <v>172</v>
      </c>
      <c r="J71" s="201" t="s">
        <v>172</v>
      </c>
      <c r="K71" s="201" t="s">
        <v>172</v>
      </c>
      <c r="L71" s="201" t="s">
        <v>172</v>
      </c>
      <c r="M71" s="201" t="s">
        <v>172</v>
      </c>
      <c r="N71" s="201" t="s">
        <v>172</v>
      </c>
      <c r="O71" s="201" t="s">
        <v>172</v>
      </c>
      <c r="P71" s="201" t="s">
        <v>172</v>
      </c>
      <c r="Q71" s="214"/>
    </row>
    <row r="72" spans="1:17" ht="15.75" x14ac:dyDescent="0.2">
      <c r="A72" s="199" t="s">
        <v>132</v>
      </c>
      <c r="B72" s="201">
        <v>45067</v>
      </c>
      <c r="C72" s="201" t="s">
        <v>172</v>
      </c>
      <c r="D72" s="201" t="s">
        <v>172</v>
      </c>
      <c r="E72" s="201" t="s">
        <v>172</v>
      </c>
      <c r="F72" s="201" t="s">
        <v>172</v>
      </c>
      <c r="G72" s="201" t="s">
        <v>172</v>
      </c>
      <c r="H72" s="201" t="s">
        <v>172</v>
      </c>
      <c r="I72" s="201" t="s">
        <v>172</v>
      </c>
      <c r="J72" s="201" t="s">
        <v>172</v>
      </c>
      <c r="K72" s="201" t="s">
        <v>172</v>
      </c>
      <c r="L72" s="201" t="s">
        <v>172</v>
      </c>
      <c r="M72" s="201" t="s">
        <v>172</v>
      </c>
      <c r="N72" s="201" t="s">
        <v>172</v>
      </c>
      <c r="O72" s="201" t="s">
        <v>172</v>
      </c>
      <c r="P72" s="201" t="s">
        <v>172</v>
      </c>
      <c r="Q72" s="214"/>
    </row>
    <row r="73" spans="1:17" ht="15.75" x14ac:dyDescent="0.2">
      <c r="A73" s="199" t="s">
        <v>133</v>
      </c>
      <c r="B73" s="201">
        <v>45068</v>
      </c>
      <c r="C73" s="201"/>
      <c r="D73" s="62"/>
      <c r="E73" s="271"/>
      <c r="F73" s="271"/>
      <c r="G73" s="271"/>
      <c r="H73" s="62"/>
      <c r="I73" s="62"/>
      <c r="J73" s="62"/>
      <c r="K73" s="62"/>
      <c r="L73" s="62"/>
      <c r="M73" s="62"/>
      <c r="N73" s="62"/>
      <c r="O73" s="62"/>
      <c r="P73" s="62"/>
      <c r="Q73" s="214"/>
    </row>
    <row r="74" spans="1:17" ht="15.75" x14ac:dyDescent="0.2">
      <c r="A74" s="199" t="s">
        <v>134</v>
      </c>
      <c r="B74" s="201">
        <v>45069</v>
      </c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14"/>
    </row>
    <row r="75" spans="1:17" ht="15.75" x14ac:dyDescent="0.2">
      <c r="A75" s="199" t="s">
        <v>129</v>
      </c>
      <c r="B75" s="201">
        <v>45070</v>
      </c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14"/>
    </row>
    <row r="76" spans="1:17" ht="15.75" x14ac:dyDescent="0.2">
      <c r="A76" s="199" t="s">
        <v>135</v>
      </c>
      <c r="B76" s="201">
        <v>45071</v>
      </c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14"/>
    </row>
    <row r="77" spans="1:17" ht="16.5" thickBot="1" x14ac:dyDescent="0.25">
      <c r="A77" s="200" t="s">
        <v>136</v>
      </c>
      <c r="B77" s="201">
        <v>45072</v>
      </c>
      <c r="C77" s="201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5"/>
    </row>
    <row r="78" spans="1:17" x14ac:dyDescent="0.2">
      <c r="B78" s="235"/>
      <c r="C78" s="235"/>
    </row>
    <row r="83" spans="1:19" ht="15.75" x14ac:dyDescent="0.2">
      <c r="A83" s="335" t="s">
        <v>68</v>
      </c>
      <c r="B83" s="335"/>
      <c r="C83" s="335"/>
      <c r="D83" s="335"/>
      <c r="E83" s="335"/>
      <c r="F83" s="335"/>
      <c r="G83" s="15"/>
      <c r="H83" s="15"/>
      <c r="I83" s="16"/>
      <c r="J83" s="16"/>
      <c r="K83" s="16"/>
    </row>
    <row r="84" spans="1:19" ht="15.75" x14ac:dyDescent="0.2">
      <c r="A84" s="79"/>
      <c r="B84" s="335" t="s">
        <v>11</v>
      </c>
      <c r="C84" s="335"/>
      <c r="D84" s="335"/>
      <c r="E84" s="80"/>
      <c r="F84" s="79"/>
      <c r="G84" s="337"/>
      <c r="H84" s="337"/>
      <c r="I84" s="337"/>
      <c r="J84" s="337"/>
      <c r="K84" s="16"/>
    </row>
    <row r="85" spans="1:19" ht="15.75" x14ac:dyDescent="0.2">
      <c r="A85" s="79"/>
      <c r="B85" s="335" t="s">
        <v>12</v>
      </c>
      <c r="C85" s="335"/>
      <c r="D85" s="335"/>
      <c r="E85" s="80"/>
      <c r="F85" s="79"/>
      <c r="G85" s="337"/>
      <c r="H85" s="337"/>
      <c r="I85" s="337"/>
      <c r="J85" s="337"/>
      <c r="K85" s="16"/>
    </row>
    <row r="86" spans="1:19" x14ac:dyDescent="0.2">
      <c r="A86" s="81"/>
      <c r="B86" s="82"/>
      <c r="C86" s="82"/>
      <c r="D86" s="82"/>
      <c r="E86" s="83"/>
      <c r="F86" s="81"/>
      <c r="G86" s="15"/>
      <c r="H86" s="15"/>
      <c r="I86" s="16"/>
      <c r="J86" s="16"/>
      <c r="K86" s="16"/>
    </row>
    <row r="87" spans="1:19" x14ac:dyDescent="0.2">
      <c r="A87" s="15"/>
      <c r="B87" s="15"/>
      <c r="C87" s="15"/>
      <c r="D87" s="17"/>
      <c r="E87" s="15"/>
      <c r="F87" s="17"/>
      <c r="G87" s="15"/>
      <c r="H87" s="15"/>
      <c r="I87" s="16"/>
      <c r="J87" s="16"/>
      <c r="K87" s="16"/>
    </row>
    <row r="88" spans="1:19" ht="18" x14ac:dyDescent="0.2">
      <c r="H88" s="486" t="s">
        <v>330</v>
      </c>
      <c r="I88" s="486"/>
      <c r="J88" s="486"/>
    </row>
    <row r="89" spans="1:19" ht="15" thickBot="1" x14ac:dyDescent="0.25">
      <c r="D89" t="s">
        <v>301</v>
      </c>
    </row>
    <row r="90" spans="1:19" ht="16.5" thickBot="1" x14ac:dyDescent="0.25">
      <c r="A90" s="197" t="s">
        <v>71</v>
      </c>
      <c r="B90" s="197" t="s">
        <v>1</v>
      </c>
      <c r="C90" s="197" t="s">
        <v>261</v>
      </c>
      <c r="D90" s="197" t="s">
        <v>257</v>
      </c>
      <c r="E90" s="197" t="s">
        <v>262</v>
      </c>
      <c r="F90" s="197" t="s">
        <v>180</v>
      </c>
      <c r="G90" s="197" t="s">
        <v>263</v>
      </c>
      <c r="H90" s="197" t="s">
        <v>264</v>
      </c>
      <c r="I90" s="197" t="s">
        <v>265</v>
      </c>
      <c r="J90" s="197" t="s">
        <v>185</v>
      </c>
      <c r="K90" s="197" t="s">
        <v>266</v>
      </c>
      <c r="L90" s="197" t="s">
        <v>267</v>
      </c>
      <c r="M90" s="197" t="s">
        <v>268</v>
      </c>
      <c r="N90" s="197" t="s">
        <v>269</v>
      </c>
      <c r="O90" s="197" t="s">
        <v>271</v>
      </c>
      <c r="P90" s="197" t="s">
        <v>270</v>
      </c>
      <c r="Q90" s="198" t="s">
        <v>272</v>
      </c>
    </row>
    <row r="91" spans="1:19" ht="16.5" thickBot="1" x14ac:dyDescent="0.25">
      <c r="A91" s="199" t="s">
        <v>131</v>
      </c>
      <c r="B91" s="262">
        <v>45073</v>
      </c>
      <c r="C91" s="201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195"/>
    </row>
    <row r="92" spans="1:19" ht="16.5" thickBot="1" x14ac:dyDescent="0.25">
      <c r="A92" s="199" t="s">
        <v>132</v>
      </c>
      <c r="B92" s="262">
        <v>45074</v>
      </c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</row>
    <row r="93" spans="1:19" ht="16.5" thickBot="1" x14ac:dyDescent="0.25">
      <c r="A93" s="199" t="s">
        <v>133</v>
      </c>
      <c r="B93" s="262">
        <v>45075</v>
      </c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</row>
    <row r="94" spans="1:19" ht="16.5" thickBot="1" x14ac:dyDescent="0.25">
      <c r="A94" s="199" t="s">
        <v>134</v>
      </c>
      <c r="B94" s="262">
        <v>45076</v>
      </c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S94" t="s">
        <v>274</v>
      </c>
    </row>
    <row r="95" spans="1:19" ht="16.5" thickBot="1" x14ac:dyDescent="0.25">
      <c r="A95" s="199" t="s">
        <v>129</v>
      </c>
      <c r="B95" s="262">
        <v>45077</v>
      </c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195"/>
    </row>
    <row r="96" spans="1:19" ht="16.5" thickBot="1" x14ac:dyDescent="0.25">
      <c r="A96" s="199" t="s">
        <v>135</v>
      </c>
      <c r="B96" s="262">
        <v>45078</v>
      </c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195"/>
    </row>
    <row r="97" spans="1:17" ht="16.5" thickBot="1" x14ac:dyDescent="0.25">
      <c r="A97" s="200" t="s">
        <v>136</v>
      </c>
      <c r="B97" s="262">
        <v>45079</v>
      </c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196"/>
    </row>
  </sheetData>
  <mergeCells count="24">
    <mergeCell ref="A22:F22"/>
    <mergeCell ref="A1:F1"/>
    <mergeCell ref="B2:D2"/>
    <mergeCell ref="G2:J3"/>
    <mergeCell ref="B3:D3"/>
    <mergeCell ref="H6:J6"/>
    <mergeCell ref="B23:D23"/>
    <mergeCell ref="G23:J24"/>
    <mergeCell ref="B24:D24"/>
    <mergeCell ref="H27:J27"/>
    <mergeCell ref="A42:F42"/>
    <mergeCell ref="B43:D43"/>
    <mergeCell ref="G43:J44"/>
    <mergeCell ref="B44:D44"/>
    <mergeCell ref="H47:J47"/>
    <mergeCell ref="A63:F63"/>
    <mergeCell ref="H88:J88"/>
    <mergeCell ref="B64:D64"/>
    <mergeCell ref="G64:J65"/>
    <mergeCell ref="B65:D65"/>
    <mergeCell ref="A83:F83"/>
    <mergeCell ref="B84:D84"/>
    <mergeCell ref="G84:J85"/>
    <mergeCell ref="B85:D85"/>
  </mergeCells>
  <phoneticPr fontId="39" type="noConversion"/>
  <pageMargins left="0.7" right="0.7" top="0.75" bottom="0.75" header="0.3" footer="0.3"/>
  <pageSetup paperSize="37" scale="39" orientation="landscape" r:id="rId1"/>
  <rowBreaks count="4" manualBreakCount="4">
    <brk id="20" max="17" man="1"/>
    <brk id="41" max="17" man="1"/>
    <brk id="61" max="17" man="1"/>
    <brk id="81" max="17" man="1"/>
  </rowBreaks>
  <colBreaks count="1" manualBreakCount="1">
    <brk id="18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915C-90C5-4282-8EAC-3356A4254055}">
  <dimension ref="A1:J25"/>
  <sheetViews>
    <sheetView rightToLeft="1" workbookViewId="0">
      <selection activeCell="A19" sqref="A19"/>
    </sheetView>
  </sheetViews>
  <sheetFormatPr defaultRowHeight="14.25" x14ac:dyDescent="0.2"/>
  <cols>
    <col min="1" max="1" width="11.625" customWidth="1"/>
    <col min="2" max="2" width="17.25" customWidth="1"/>
    <col min="3" max="3" width="9.75" customWidth="1"/>
    <col min="4" max="4" width="10.5" customWidth="1"/>
    <col min="5" max="6" width="10.25" customWidth="1"/>
    <col min="7" max="7" width="10" customWidth="1"/>
    <col min="8" max="9" width="10.25" customWidth="1"/>
    <col min="10" max="10" width="15" customWidth="1"/>
    <col min="17" max="17" width="16.25" customWidth="1"/>
    <col min="20" max="20" width="15.75" customWidth="1"/>
  </cols>
  <sheetData>
    <row r="1" spans="1:10" ht="15.75" x14ac:dyDescent="0.2">
      <c r="A1" s="499" t="s">
        <v>73</v>
      </c>
      <c r="B1" s="499"/>
      <c r="C1" s="499"/>
    </row>
    <row r="2" spans="1:10" ht="15.75" x14ac:dyDescent="0.2">
      <c r="A2" s="499" t="s">
        <v>72</v>
      </c>
      <c r="B2" s="499"/>
      <c r="C2" s="499"/>
    </row>
    <row r="3" spans="1:10" ht="15.75" customHeight="1" x14ac:dyDescent="0.2">
      <c r="A3" s="499" t="s">
        <v>36</v>
      </c>
      <c r="B3" s="499"/>
      <c r="C3" s="499"/>
      <c r="D3" s="554" t="s">
        <v>142</v>
      </c>
      <c r="E3" s="555"/>
      <c r="F3" s="555"/>
      <c r="G3" s="556"/>
    </row>
    <row r="4" spans="1:10" ht="14.25" customHeight="1" x14ac:dyDescent="0.2">
      <c r="D4" s="557"/>
      <c r="E4" s="558"/>
      <c r="F4" s="558"/>
      <c r="G4" s="559"/>
    </row>
    <row r="5" spans="1:10" ht="15" x14ac:dyDescent="0.25">
      <c r="A5" s="18"/>
      <c r="B5" s="49" t="s">
        <v>336</v>
      </c>
      <c r="D5" s="560"/>
      <c r="E5" s="561"/>
      <c r="F5" s="561"/>
      <c r="G5" s="562"/>
    </row>
    <row r="6" spans="1:10" ht="15" x14ac:dyDescent="0.25">
      <c r="A6" s="18"/>
    </row>
    <row r="7" spans="1:10" ht="18" x14ac:dyDescent="0.2">
      <c r="A7" s="72" t="s">
        <v>83</v>
      </c>
      <c r="B7" s="72" t="s">
        <v>130</v>
      </c>
      <c r="C7" s="72" t="s">
        <v>131</v>
      </c>
      <c r="D7" s="72" t="s">
        <v>132</v>
      </c>
      <c r="E7" s="72" t="s">
        <v>133</v>
      </c>
      <c r="F7" s="72" t="s">
        <v>134</v>
      </c>
      <c r="G7" s="72" t="s">
        <v>129</v>
      </c>
      <c r="H7" s="72" t="s">
        <v>135</v>
      </c>
      <c r="I7" s="72" t="s">
        <v>136</v>
      </c>
      <c r="J7" s="72" t="s">
        <v>137</v>
      </c>
    </row>
    <row r="8" spans="1:10" ht="15" x14ac:dyDescent="0.25">
      <c r="A8" s="179" t="s">
        <v>243</v>
      </c>
      <c r="B8" s="69" t="s">
        <v>138</v>
      </c>
      <c r="C8" s="70"/>
      <c r="D8" s="70"/>
      <c r="E8" s="70"/>
      <c r="F8" s="70"/>
      <c r="G8" s="70"/>
      <c r="H8" s="70"/>
      <c r="I8" s="70"/>
      <c r="J8" s="71"/>
    </row>
    <row r="9" spans="1:10" ht="15" x14ac:dyDescent="0.25">
      <c r="A9" s="179" t="s">
        <v>244</v>
      </c>
      <c r="B9" s="69" t="s">
        <v>321</v>
      </c>
      <c r="C9" s="70"/>
      <c r="D9" s="70"/>
      <c r="E9" s="70"/>
      <c r="F9" s="70"/>
      <c r="G9" s="70"/>
      <c r="H9" s="70"/>
      <c r="I9" s="70"/>
      <c r="J9" s="71"/>
    </row>
    <row r="10" spans="1:10" ht="15" x14ac:dyDescent="0.25">
      <c r="A10" s="179" t="s">
        <v>245</v>
      </c>
      <c r="B10" s="69" t="s">
        <v>323</v>
      </c>
      <c r="C10" s="70"/>
      <c r="D10" s="70"/>
      <c r="E10" s="70"/>
      <c r="F10" s="70"/>
      <c r="G10" s="70"/>
      <c r="H10" s="70"/>
      <c r="I10" s="70"/>
      <c r="J10" s="71"/>
    </row>
    <row r="11" spans="1:10" ht="15" x14ac:dyDescent="0.2">
      <c r="A11" s="179" t="s">
        <v>246</v>
      </c>
      <c r="B11" s="69" t="s">
        <v>113</v>
      </c>
      <c r="C11" s="70"/>
      <c r="D11" s="70"/>
      <c r="E11" s="70"/>
      <c r="F11" s="70"/>
      <c r="G11" s="70"/>
      <c r="H11" s="70"/>
      <c r="I11" s="70"/>
      <c r="J11" s="69"/>
    </row>
    <row r="12" spans="1:10" ht="15" x14ac:dyDescent="0.2">
      <c r="A12" s="179" t="s">
        <v>247</v>
      </c>
      <c r="B12" s="69" t="s">
        <v>252</v>
      </c>
      <c r="C12" s="70"/>
      <c r="D12" s="70"/>
      <c r="E12" s="70"/>
      <c r="F12" s="70"/>
      <c r="G12" s="70"/>
      <c r="H12" s="70"/>
      <c r="I12" s="70"/>
      <c r="J12" s="69"/>
    </row>
    <row r="13" spans="1:10" ht="15" x14ac:dyDescent="0.2">
      <c r="A13" s="179" t="s">
        <v>248</v>
      </c>
      <c r="B13" s="69" t="s">
        <v>405</v>
      </c>
      <c r="C13" s="70"/>
      <c r="D13" s="70"/>
      <c r="E13" s="70"/>
      <c r="F13" s="70"/>
      <c r="G13" s="70"/>
      <c r="H13" s="70"/>
      <c r="I13" s="70"/>
      <c r="J13" s="69"/>
    </row>
    <row r="14" spans="1:10" ht="15" x14ac:dyDescent="0.2">
      <c r="A14" s="179" t="s">
        <v>249</v>
      </c>
      <c r="B14" s="69" t="s">
        <v>322</v>
      </c>
      <c r="C14" s="70"/>
      <c r="D14" s="70"/>
      <c r="E14" s="70"/>
      <c r="F14" s="70"/>
      <c r="G14" s="70"/>
      <c r="H14" s="70"/>
      <c r="I14" s="70"/>
      <c r="J14" s="69"/>
    </row>
    <row r="15" spans="1:10" ht="15" x14ac:dyDescent="0.2">
      <c r="A15" s="179" t="s">
        <v>250</v>
      </c>
      <c r="B15" s="69" t="s">
        <v>406</v>
      </c>
      <c r="C15" s="70"/>
      <c r="D15" s="70"/>
      <c r="E15" s="70"/>
      <c r="F15" s="70"/>
      <c r="G15" s="70"/>
      <c r="H15" s="70"/>
      <c r="I15" s="70"/>
      <c r="J15" s="69"/>
    </row>
    <row r="16" spans="1:10" ht="15" x14ac:dyDescent="0.2">
      <c r="A16" s="179" t="s">
        <v>251</v>
      </c>
      <c r="B16" s="69" t="s">
        <v>407</v>
      </c>
      <c r="C16" s="70"/>
      <c r="D16" s="70"/>
      <c r="E16" s="70"/>
      <c r="F16" s="70"/>
      <c r="G16" s="70"/>
      <c r="H16" s="70"/>
      <c r="I16" s="70"/>
      <c r="J16" s="69"/>
    </row>
    <row r="17" spans="1:10" ht="15" x14ac:dyDescent="0.2">
      <c r="A17" s="179" t="s">
        <v>403</v>
      </c>
      <c r="B17" s="69" t="s">
        <v>105</v>
      </c>
      <c r="C17" s="70"/>
      <c r="D17" s="70"/>
      <c r="E17" s="70"/>
      <c r="F17" s="70"/>
      <c r="G17" s="70"/>
      <c r="H17" s="70"/>
      <c r="I17" s="70"/>
      <c r="J17" s="69"/>
    </row>
    <row r="18" spans="1:10" ht="15" x14ac:dyDescent="0.2">
      <c r="A18" s="179" t="s">
        <v>404</v>
      </c>
      <c r="B18" s="69" t="s">
        <v>325</v>
      </c>
      <c r="C18" s="70"/>
      <c r="D18" s="70"/>
      <c r="E18" s="70"/>
      <c r="F18" s="70"/>
      <c r="G18" s="70"/>
      <c r="H18" s="70"/>
      <c r="I18" s="70"/>
      <c r="J18" s="69"/>
    </row>
    <row r="19" spans="1:10" ht="15.75" x14ac:dyDescent="0.25">
      <c r="B19" s="553"/>
      <c r="C19" s="553"/>
      <c r="D19" s="553"/>
      <c r="E19" s="553"/>
      <c r="F19" s="553"/>
      <c r="G19" s="553"/>
      <c r="H19" s="553"/>
      <c r="I19" s="553"/>
      <c r="J19" s="553"/>
    </row>
    <row r="22" spans="1:10" ht="18" x14ac:dyDescent="0.25">
      <c r="B22" s="518" t="s">
        <v>140</v>
      </c>
      <c r="C22" s="518"/>
      <c r="H22" s="67" t="s">
        <v>141</v>
      </c>
    </row>
    <row r="25" spans="1:10" ht="18" x14ac:dyDescent="0.25">
      <c r="B25" s="518"/>
      <c r="C25" s="518"/>
      <c r="G25" s="518"/>
      <c r="H25" s="518"/>
      <c r="I25" s="518"/>
    </row>
  </sheetData>
  <mergeCells count="8">
    <mergeCell ref="A1:C1"/>
    <mergeCell ref="A2:C2"/>
    <mergeCell ref="A3:C3"/>
    <mergeCell ref="G25:I25"/>
    <mergeCell ref="B22:C22"/>
    <mergeCell ref="B25:C25"/>
    <mergeCell ref="B19:J19"/>
    <mergeCell ref="D3:G5"/>
  </mergeCells>
  <phoneticPr fontId="39" type="noConversion"/>
  <pageMargins left="0.7" right="0.7" top="0.75" bottom="0.75" header="0.3" footer="0.3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E966-96C4-4BA6-A20D-CA153A468026}">
  <dimension ref="A1:R316"/>
  <sheetViews>
    <sheetView rightToLeft="1" topLeftCell="A140" zoomScaleNormal="100" workbookViewId="0">
      <selection activeCell="E126" sqref="E126"/>
    </sheetView>
  </sheetViews>
  <sheetFormatPr defaultRowHeight="14.25" x14ac:dyDescent="0.2"/>
  <cols>
    <col min="1" max="1" width="11.875" customWidth="1"/>
  </cols>
  <sheetData>
    <row r="1" spans="1:16" ht="15" thickBot="1" x14ac:dyDescent="0.25">
      <c r="A1" s="152" t="s">
        <v>38</v>
      </c>
      <c r="B1" s="153" t="s">
        <v>39</v>
      </c>
      <c r="J1" s="153"/>
      <c r="K1" s="154" t="s">
        <v>164</v>
      </c>
    </row>
    <row r="2" spans="1:16" ht="15.75" thickTop="1" thickBot="1" x14ac:dyDescent="0.25">
      <c r="A2" s="155" t="s">
        <v>54</v>
      </c>
      <c r="B2" s="156">
        <v>1</v>
      </c>
      <c r="J2" s="156"/>
      <c r="K2" s="157" t="s">
        <v>165</v>
      </c>
    </row>
    <row r="3" spans="1:16" ht="25.5" thickTop="1" thickBot="1" x14ac:dyDescent="0.25">
      <c r="A3" s="155" t="s">
        <v>40</v>
      </c>
      <c r="B3" s="156" t="s">
        <v>390</v>
      </c>
      <c r="J3" s="156"/>
      <c r="K3" s="157" t="s">
        <v>166</v>
      </c>
    </row>
    <row r="4" spans="1:16" ht="15.75" thickTop="1" thickBot="1" x14ac:dyDescent="0.25">
      <c r="A4" s="155" t="s">
        <v>42</v>
      </c>
      <c r="B4" s="306">
        <v>45052</v>
      </c>
      <c r="J4" s="156"/>
      <c r="K4" s="157" t="s">
        <v>167</v>
      </c>
    </row>
    <row r="5" spans="1:16" ht="25.5" customHeight="1" thickTop="1" thickBot="1" x14ac:dyDescent="0.3">
      <c r="A5" s="158" t="s">
        <v>43</v>
      </c>
      <c r="B5" s="159" t="s">
        <v>391</v>
      </c>
      <c r="E5" s="581" t="s">
        <v>168</v>
      </c>
      <c r="F5" s="581"/>
      <c r="G5" s="581"/>
      <c r="J5" s="159"/>
      <c r="K5" s="160" t="s">
        <v>169</v>
      </c>
    </row>
    <row r="6" spans="1:16" ht="15.75" customHeight="1" x14ac:dyDescent="0.2">
      <c r="E6" s="582" t="s">
        <v>170</v>
      </c>
      <c r="F6" s="582"/>
      <c r="G6" s="582"/>
    </row>
    <row r="7" spans="1:16" ht="15" thickBot="1" x14ac:dyDescent="0.25"/>
    <row r="8" spans="1:16" ht="25.5" customHeight="1" x14ac:dyDescent="0.2">
      <c r="A8" s="161" t="s">
        <v>171</v>
      </c>
      <c r="B8" s="583" t="s">
        <v>172</v>
      </c>
      <c r="C8" s="583" t="s">
        <v>173</v>
      </c>
      <c r="D8" s="583" t="s">
        <v>174</v>
      </c>
      <c r="E8" s="585" t="s">
        <v>175</v>
      </c>
      <c r="F8" s="586"/>
      <c r="G8" s="586"/>
      <c r="H8" s="586"/>
      <c r="I8" s="586"/>
      <c r="J8" s="586"/>
      <c r="K8" s="583"/>
    </row>
    <row r="9" spans="1:16" ht="10.5" customHeight="1" thickBot="1" x14ac:dyDescent="0.25">
      <c r="A9" s="162" t="s">
        <v>176</v>
      </c>
      <c r="B9" s="584"/>
      <c r="C9" s="584"/>
      <c r="D9" s="584"/>
      <c r="E9" s="587"/>
      <c r="F9" s="588"/>
      <c r="G9" s="588"/>
      <c r="H9" s="588"/>
      <c r="I9" s="588"/>
      <c r="J9" s="588"/>
      <c r="K9" s="584"/>
    </row>
    <row r="10" spans="1:16" ht="14.25" customHeight="1" x14ac:dyDescent="0.2">
      <c r="A10" s="589" t="s">
        <v>177</v>
      </c>
      <c r="B10" s="563"/>
      <c r="C10" s="563">
        <v>0</v>
      </c>
      <c r="D10" s="567"/>
      <c r="E10" s="569"/>
      <c r="F10" s="570"/>
      <c r="G10" s="570"/>
      <c r="H10" s="570"/>
      <c r="I10" s="570"/>
      <c r="J10" s="570"/>
      <c r="K10" s="567"/>
    </row>
    <row r="11" spans="1:16" ht="15" customHeight="1" thickBot="1" x14ac:dyDescent="0.25">
      <c r="A11" s="590"/>
      <c r="B11" s="564"/>
      <c r="C11" s="564"/>
      <c r="D11" s="568"/>
      <c r="E11" s="571"/>
      <c r="F11" s="572"/>
      <c r="G11" s="572"/>
      <c r="H11" s="572"/>
      <c r="I11" s="572"/>
      <c r="J11" s="572"/>
      <c r="K11" s="568"/>
    </row>
    <row r="12" spans="1:16" ht="14.25" customHeight="1" x14ac:dyDescent="0.2">
      <c r="A12" s="565" t="s">
        <v>178</v>
      </c>
      <c r="B12" s="563">
        <v>0</v>
      </c>
      <c r="C12" s="563"/>
      <c r="D12" s="567"/>
      <c r="E12" s="569"/>
      <c r="F12" s="570"/>
      <c r="G12" s="570"/>
      <c r="H12" s="570"/>
      <c r="I12" s="570"/>
      <c r="J12" s="570"/>
      <c r="K12" s="567"/>
    </row>
    <row r="13" spans="1:16" ht="15" customHeight="1" thickBot="1" x14ac:dyDescent="0.25">
      <c r="A13" s="566"/>
      <c r="B13" s="564"/>
      <c r="C13" s="564"/>
      <c r="D13" s="568"/>
      <c r="E13" s="571"/>
      <c r="F13" s="572"/>
      <c r="G13" s="572"/>
      <c r="H13" s="572"/>
      <c r="I13" s="572"/>
      <c r="J13" s="572"/>
      <c r="K13" s="568"/>
    </row>
    <row r="14" spans="1:16" ht="28.5" customHeight="1" thickBot="1" x14ac:dyDescent="0.25">
      <c r="A14" s="254" t="s">
        <v>309</v>
      </c>
      <c r="B14" s="282"/>
      <c r="C14" s="255">
        <v>0</v>
      </c>
      <c r="D14" s="256"/>
      <c r="E14" s="257"/>
      <c r="F14" s="258" t="s">
        <v>392</v>
      </c>
      <c r="G14" s="258" t="s">
        <v>393</v>
      </c>
      <c r="H14" s="258"/>
      <c r="I14" s="258"/>
      <c r="J14" s="258"/>
      <c r="K14" s="256"/>
    </row>
    <row r="15" spans="1:16" ht="14.25" customHeight="1" thickBot="1" x14ac:dyDescent="0.25">
      <c r="A15" s="565" t="s">
        <v>179</v>
      </c>
      <c r="B15" s="563">
        <v>0</v>
      </c>
      <c r="C15" s="567"/>
      <c r="D15" s="567"/>
      <c r="E15" s="569"/>
      <c r="F15" s="570"/>
      <c r="G15" s="570"/>
      <c r="H15" s="570"/>
      <c r="I15" s="570"/>
      <c r="J15" s="570"/>
      <c r="K15" s="567"/>
      <c r="P15" s="283"/>
    </row>
    <row r="16" spans="1:16" ht="15" customHeight="1" thickBot="1" x14ac:dyDescent="0.25">
      <c r="A16" s="566"/>
      <c r="B16" s="564"/>
      <c r="C16" s="568"/>
      <c r="D16" s="568"/>
      <c r="E16" s="571"/>
      <c r="F16" s="572"/>
      <c r="G16" s="572"/>
      <c r="H16" s="572"/>
      <c r="I16" s="572"/>
      <c r="J16" s="572"/>
      <c r="K16" s="568"/>
    </row>
    <row r="17" spans="1:11" ht="14.25" customHeight="1" x14ac:dyDescent="0.2">
      <c r="A17" s="565" t="s">
        <v>180</v>
      </c>
      <c r="B17" s="563">
        <v>0</v>
      </c>
      <c r="C17" s="567"/>
      <c r="D17" s="567"/>
      <c r="E17" s="569"/>
      <c r="F17" s="570"/>
      <c r="G17" s="570"/>
      <c r="H17" s="570"/>
      <c r="I17" s="570"/>
      <c r="J17" s="570"/>
      <c r="K17" s="567"/>
    </row>
    <row r="18" spans="1:11" ht="15" customHeight="1" thickBot="1" x14ac:dyDescent="0.25">
      <c r="A18" s="566"/>
      <c r="B18" s="564"/>
      <c r="C18" s="568"/>
      <c r="D18" s="568"/>
      <c r="E18" s="571"/>
      <c r="F18" s="572"/>
      <c r="G18" s="572"/>
      <c r="H18" s="572"/>
      <c r="I18" s="572"/>
      <c r="J18" s="572"/>
      <c r="K18" s="568"/>
    </row>
    <row r="19" spans="1:11" ht="14.25" customHeight="1" x14ac:dyDescent="0.2">
      <c r="A19" s="565" t="s">
        <v>181</v>
      </c>
      <c r="B19" s="563">
        <v>0</v>
      </c>
      <c r="C19" s="575"/>
      <c r="D19" s="567"/>
      <c r="E19" s="569"/>
      <c r="F19" s="570"/>
      <c r="G19" s="570"/>
      <c r="H19" s="570"/>
      <c r="I19" s="570"/>
      <c r="J19" s="570"/>
      <c r="K19" s="567"/>
    </row>
    <row r="20" spans="1:11" ht="15" customHeight="1" thickBot="1" x14ac:dyDescent="0.25">
      <c r="A20" s="566"/>
      <c r="B20" s="564"/>
      <c r="C20" s="568"/>
      <c r="D20" s="568"/>
      <c r="E20" s="571"/>
      <c r="F20" s="572"/>
      <c r="G20" s="572"/>
      <c r="H20" s="572"/>
      <c r="I20" s="572"/>
      <c r="J20" s="572"/>
      <c r="K20" s="568"/>
    </row>
    <row r="21" spans="1:11" ht="14.25" customHeight="1" x14ac:dyDescent="0.2">
      <c r="A21" s="565" t="s">
        <v>182</v>
      </c>
      <c r="B21" s="563">
        <v>0</v>
      </c>
      <c r="C21" s="563"/>
      <c r="D21" s="567"/>
      <c r="E21" s="569"/>
      <c r="F21" s="570"/>
      <c r="G21" s="570"/>
      <c r="H21" s="570"/>
      <c r="I21" s="570"/>
      <c r="J21" s="570"/>
      <c r="K21" s="567"/>
    </row>
    <row r="22" spans="1:11" ht="15" customHeight="1" thickBot="1" x14ac:dyDescent="0.25">
      <c r="A22" s="566"/>
      <c r="B22" s="564"/>
      <c r="C22" s="564"/>
      <c r="D22" s="568"/>
      <c r="E22" s="571"/>
      <c r="F22" s="572"/>
      <c r="G22" s="572"/>
      <c r="H22" s="572"/>
      <c r="I22" s="572"/>
      <c r="J22" s="572"/>
      <c r="K22" s="568"/>
    </row>
    <row r="23" spans="1:11" ht="14.25" customHeight="1" x14ac:dyDescent="0.2">
      <c r="A23" s="565" t="s">
        <v>183</v>
      </c>
      <c r="B23" s="563">
        <v>0</v>
      </c>
      <c r="C23" s="575"/>
      <c r="D23" s="567"/>
      <c r="E23" s="569"/>
      <c r="F23" s="570"/>
      <c r="G23" s="570"/>
      <c r="H23" s="570"/>
      <c r="I23" s="570"/>
      <c r="J23" s="570"/>
      <c r="K23" s="567"/>
    </row>
    <row r="24" spans="1:11" ht="15" customHeight="1" thickBot="1" x14ac:dyDescent="0.25">
      <c r="A24" s="566"/>
      <c r="B24" s="564"/>
      <c r="C24" s="568"/>
      <c r="D24" s="568"/>
      <c r="E24" s="571"/>
      <c r="F24" s="572"/>
      <c r="G24" s="572"/>
      <c r="H24" s="572"/>
      <c r="I24" s="572"/>
      <c r="J24" s="572"/>
      <c r="K24" s="568"/>
    </row>
    <row r="25" spans="1:11" ht="14.25" customHeight="1" x14ac:dyDescent="0.2">
      <c r="A25" s="565" t="s">
        <v>184</v>
      </c>
      <c r="B25" s="563">
        <v>0</v>
      </c>
      <c r="C25" s="563"/>
      <c r="D25" s="567"/>
      <c r="E25" s="569"/>
      <c r="F25" s="570"/>
      <c r="G25" s="570"/>
      <c r="H25" s="570"/>
      <c r="I25" s="570"/>
      <c r="J25" s="570"/>
      <c r="K25" s="567"/>
    </row>
    <row r="26" spans="1:11" ht="15" customHeight="1" thickBot="1" x14ac:dyDescent="0.25">
      <c r="A26" s="566"/>
      <c r="B26" s="564"/>
      <c r="C26" s="564"/>
      <c r="D26" s="568"/>
      <c r="E26" s="571"/>
      <c r="F26" s="572"/>
      <c r="G26" s="572"/>
      <c r="H26" s="572"/>
      <c r="I26" s="572"/>
      <c r="J26" s="572"/>
      <c r="K26" s="568"/>
    </row>
    <row r="27" spans="1:11" ht="14.25" customHeight="1" x14ac:dyDescent="0.2">
      <c r="A27" s="565" t="s">
        <v>185</v>
      </c>
      <c r="B27" s="563">
        <v>0</v>
      </c>
      <c r="C27" s="567"/>
      <c r="D27" s="567"/>
      <c r="E27" s="569"/>
      <c r="F27" s="570"/>
      <c r="G27" s="570"/>
      <c r="H27" s="570"/>
      <c r="I27" s="570"/>
      <c r="J27" s="570"/>
      <c r="K27" s="567"/>
    </row>
    <row r="28" spans="1:11" ht="15" customHeight="1" thickBot="1" x14ac:dyDescent="0.25">
      <c r="A28" s="566"/>
      <c r="B28" s="564"/>
      <c r="C28" s="568"/>
      <c r="D28" s="568"/>
      <c r="E28" s="571"/>
      <c r="F28" s="572"/>
      <c r="G28" s="572"/>
      <c r="H28" s="572"/>
      <c r="I28" s="572"/>
      <c r="J28" s="572"/>
      <c r="K28" s="568"/>
    </row>
    <row r="29" spans="1:11" ht="14.25" customHeight="1" x14ac:dyDescent="0.2">
      <c r="A29" s="565" t="s">
        <v>186</v>
      </c>
      <c r="B29" s="563">
        <v>0</v>
      </c>
      <c r="C29" s="567"/>
      <c r="D29" s="567"/>
      <c r="E29" s="569"/>
      <c r="F29" s="570"/>
      <c r="G29" s="570"/>
      <c r="H29" s="570"/>
      <c r="I29" s="570"/>
      <c r="J29" s="570"/>
      <c r="K29" s="567"/>
    </row>
    <row r="30" spans="1:11" ht="15" customHeight="1" thickBot="1" x14ac:dyDescent="0.25">
      <c r="A30" s="566"/>
      <c r="B30" s="564"/>
      <c r="C30" s="568"/>
      <c r="D30" s="568"/>
      <c r="E30" s="571"/>
      <c r="F30" s="572"/>
      <c r="G30" s="572"/>
      <c r="H30" s="572"/>
      <c r="I30" s="572"/>
      <c r="J30" s="572"/>
      <c r="K30" s="568"/>
    </row>
    <row r="31" spans="1:11" ht="14.25" customHeight="1" x14ac:dyDescent="0.2">
      <c r="A31" s="565" t="s">
        <v>187</v>
      </c>
      <c r="B31" s="563">
        <v>0</v>
      </c>
      <c r="C31" s="567"/>
      <c r="D31" s="567"/>
      <c r="E31" s="569"/>
      <c r="F31" s="570"/>
      <c r="G31" s="570"/>
      <c r="H31" s="570"/>
      <c r="I31" s="570"/>
      <c r="J31" s="570"/>
      <c r="K31" s="567"/>
    </row>
    <row r="32" spans="1:11" ht="15" customHeight="1" thickBot="1" x14ac:dyDescent="0.25">
      <c r="A32" s="566"/>
      <c r="B32" s="564"/>
      <c r="C32" s="568"/>
      <c r="D32" s="568"/>
      <c r="E32" s="571"/>
      <c r="F32" s="572"/>
      <c r="G32" s="572"/>
      <c r="H32" s="572"/>
      <c r="I32" s="572"/>
      <c r="J32" s="572"/>
      <c r="K32" s="568"/>
    </row>
    <row r="34" spans="1:10" ht="15.75" x14ac:dyDescent="0.25">
      <c r="A34" s="163" t="s">
        <v>188</v>
      </c>
      <c r="H34" s="345" t="s">
        <v>189</v>
      </c>
      <c r="I34" s="345"/>
      <c r="J34" s="345"/>
    </row>
    <row r="36" spans="1:10" x14ac:dyDescent="0.2">
      <c r="A36" t="s">
        <v>108</v>
      </c>
      <c r="B36" t="s">
        <v>310</v>
      </c>
    </row>
    <row r="38" spans="1:10" x14ac:dyDescent="0.2">
      <c r="A38" t="s">
        <v>190</v>
      </c>
      <c r="B38" t="s">
        <v>255</v>
      </c>
    </row>
    <row r="40" spans="1:10" x14ac:dyDescent="0.2">
      <c r="A40" t="s">
        <v>191</v>
      </c>
    </row>
    <row r="55" spans="1:11" ht="15" thickBot="1" x14ac:dyDescent="0.25"/>
    <row r="56" spans="1:11" ht="15" thickBot="1" x14ac:dyDescent="0.25">
      <c r="A56" s="152" t="s">
        <v>38</v>
      </c>
      <c r="B56" s="153" t="s">
        <v>39</v>
      </c>
      <c r="J56" s="153"/>
      <c r="K56" s="154" t="s">
        <v>164</v>
      </c>
    </row>
    <row r="57" spans="1:11" ht="15.75" thickTop="1" thickBot="1" x14ac:dyDescent="0.25">
      <c r="A57" s="155" t="s">
        <v>54</v>
      </c>
      <c r="B57" s="156">
        <v>1</v>
      </c>
      <c r="J57" s="156"/>
      <c r="K57" s="157" t="s">
        <v>165</v>
      </c>
    </row>
    <row r="58" spans="1:11" ht="25.5" thickTop="1" thickBot="1" x14ac:dyDescent="0.25">
      <c r="A58" s="155" t="s">
        <v>40</v>
      </c>
      <c r="B58" s="156" t="s">
        <v>390</v>
      </c>
      <c r="J58" s="156"/>
      <c r="K58" s="157" t="s">
        <v>166</v>
      </c>
    </row>
    <row r="59" spans="1:11" ht="15.75" thickTop="1" thickBot="1" x14ac:dyDescent="0.25">
      <c r="A59" s="155" t="s">
        <v>42</v>
      </c>
      <c r="B59" s="180">
        <v>45059</v>
      </c>
      <c r="J59" s="156"/>
      <c r="K59" s="157" t="s">
        <v>167</v>
      </c>
    </row>
    <row r="60" spans="1:11" ht="17.25" thickTop="1" thickBot="1" x14ac:dyDescent="0.3">
      <c r="A60" s="158" t="s">
        <v>43</v>
      </c>
      <c r="B60" s="253">
        <v>0.375</v>
      </c>
      <c r="E60" s="581" t="s">
        <v>168</v>
      </c>
      <c r="F60" s="581"/>
      <c r="G60" s="581"/>
      <c r="J60" s="159"/>
      <c r="K60" s="160" t="s">
        <v>169</v>
      </c>
    </row>
    <row r="61" spans="1:11" ht="27" x14ac:dyDescent="0.2">
      <c r="E61" s="582" t="s">
        <v>170</v>
      </c>
      <c r="F61" s="582"/>
      <c r="G61" s="582"/>
    </row>
    <row r="62" spans="1:11" ht="15" thickBot="1" x14ac:dyDescent="0.25"/>
    <row r="63" spans="1:11" x14ac:dyDescent="0.2">
      <c r="A63" s="161" t="s">
        <v>171</v>
      </c>
      <c r="B63" s="583" t="s">
        <v>172</v>
      </c>
      <c r="C63" s="583" t="s">
        <v>173</v>
      </c>
      <c r="D63" s="583" t="s">
        <v>174</v>
      </c>
      <c r="E63" s="585" t="s">
        <v>175</v>
      </c>
      <c r="F63" s="586"/>
      <c r="G63" s="586"/>
      <c r="H63" s="586"/>
      <c r="I63" s="586"/>
      <c r="J63" s="586"/>
      <c r="K63" s="583"/>
    </row>
    <row r="64" spans="1:11" ht="15" thickBot="1" x14ac:dyDescent="0.25">
      <c r="A64" s="162" t="s">
        <v>176</v>
      </c>
      <c r="B64" s="584"/>
      <c r="C64" s="584"/>
      <c r="D64" s="584"/>
      <c r="E64" s="587"/>
      <c r="F64" s="588"/>
      <c r="G64" s="588"/>
      <c r="H64" s="588"/>
      <c r="I64" s="588"/>
      <c r="J64" s="588"/>
      <c r="K64" s="584"/>
    </row>
    <row r="65" spans="1:11" ht="14.25" customHeight="1" x14ac:dyDescent="0.2">
      <c r="A65" s="589" t="s">
        <v>177</v>
      </c>
      <c r="B65" s="563"/>
      <c r="C65" s="563">
        <v>0</v>
      </c>
      <c r="D65" s="567"/>
      <c r="E65" s="569" t="s">
        <v>453</v>
      </c>
      <c r="F65" s="570"/>
      <c r="G65" s="570"/>
      <c r="H65" s="570"/>
      <c r="I65" s="570"/>
      <c r="J65" s="570"/>
      <c r="K65" s="567"/>
    </row>
    <row r="66" spans="1:11" ht="15" customHeight="1" thickBot="1" x14ac:dyDescent="0.25">
      <c r="A66" s="590"/>
      <c r="B66" s="564"/>
      <c r="C66" s="564"/>
      <c r="D66" s="568"/>
      <c r="E66" s="571"/>
      <c r="F66" s="572"/>
      <c r="G66" s="572"/>
      <c r="H66" s="572"/>
      <c r="I66" s="572"/>
      <c r="J66" s="572"/>
      <c r="K66" s="568"/>
    </row>
    <row r="67" spans="1:11" ht="14.25" customHeight="1" x14ac:dyDescent="0.2">
      <c r="A67" s="565" t="s">
        <v>178</v>
      </c>
      <c r="B67" s="563">
        <v>0</v>
      </c>
      <c r="C67" s="563"/>
      <c r="D67" s="576"/>
      <c r="E67" s="569"/>
      <c r="F67" s="570"/>
      <c r="G67" s="570"/>
      <c r="H67" s="570"/>
      <c r="I67" s="570"/>
      <c r="J67" s="570"/>
      <c r="K67" s="567"/>
    </row>
    <row r="68" spans="1:11" ht="14.25" customHeight="1" x14ac:dyDescent="0.2">
      <c r="A68" s="591"/>
      <c r="B68" s="592"/>
      <c r="C68" s="592"/>
      <c r="D68" s="577"/>
      <c r="E68" s="593"/>
      <c r="F68" s="594"/>
      <c r="G68" s="594"/>
      <c r="H68" s="594"/>
      <c r="I68" s="594"/>
      <c r="J68" s="594"/>
      <c r="K68" s="595"/>
    </row>
    <row r="69" spans="1:11" ht="14.25" customHeight="1" x14ac:dyDescent="0.2">
      <c r="A69" s="591"/>
      <c r="B69" s="592"/>
      <c r="C69" s="592"/>
      <c r="D69" s="577"/>
      <c r="E69" s="593"/>
      <c r="F69" s="594"/>
      <c r="G69" s="594"/>
      <c r="H69" s="594"/>
      <c r="I69" s="594"/>
      <c r="J69" s="594"/>
      <c r="K69" s="595"/>
    </row>
    <row r="70" spans="1:11" ht="11.25" customHeight="1" thickBot="1" x14ac:dyDescent="0.25">
      <c r="A70" s="566"/>
      <c r="B70" s="564"/>
      <c r="C70" s="564"/>
      <c r="D70" s="577"/>
      <c r="E70" s="571"/>
      <c r="F70" s="572"/>
      <c r="G70" s="572"/>
      <c r="H70" s="572"/>
      <c r="I70" s="572"/>
      <c r="J70" s="572"/>
      <c r="K70" s="568"/>
    </row>
    <row r="71" spans="1:11" ht="95.25" thickBot="1" x14ac:dyDescent="0.25">
      <c r="A71" s="254" t="s">
        <v>306</v>
      </c>
      <c r="B71" s="255"/>
      <c r="C71" s="255">
        <v>0</v>
      </c>
      <c r="D71" s="259"/>
      <c r="E71" s="257"/>
      <c r="F71" s="321"/>
      <c r="G71" s="258" t="s">
        <v>454</v>
      </c>
      <c r="H71" s="258"/>
      <c r="I71" s="258"/>
      <c r="J71" s="258"/>
      <c r="K71" s="256"/>
    </row>
    <row r="72" spans="1:11" ht="14.25" customHeight="1" x14ac:dyDescent="0.2">
      <c r="A72" s="565" t="s">
        <v>179</v>
      </c>
      <c r="B72" s="563">
        <v>0</v>
      </c>
      <c r="C72" s="563"/>
      <c r="D72" s="567"/>
      <c r="E72" s="569" t="s">
        <v>455</v>
      </c>
      <c r="F72" s="570"/>
      <c r="G72" s="570"/>
      <c r="H72" s="570"/>
      <c r="I72" s="570"/>
      <c r="J72" s="570"/>
      <c r="K72" s="567"/>
    </row>
    <row r="73" spans="1:11" ht="15" customHeight="1" thickBot="1" x14ac:dyDescent="0.25">
      <c r="A73" s="566"/>
      <c r="B73" s="564"/>
      <c r="C73" s="564"/>
      <c r="D73" s="568"/>
      <c r="E73" s="571"/>
      <c r="F73" s="572"/>
      <c r="G73" s="572"/>
      <c r="H73" s="572"/>
      <c r="I73" s="572"/>
      <c r="J73" s="572"/>
      <c r="K73" s="568"/>
    </row>
    <row r="74" spans="1:11" ht="14.25" customHeight="1" x14ac:dyDescent="0.2">
      <c r="A74" s="565" t="s">
        <v>180</v>
      </c>
      <c r="B74" s="563">
        <v>0</v>
      </c>
      <c r="C74" s="563"/>
      <c r="D74" s="575"/>
      <c r="E74" s="569"/>
      <c r="F74" s="570"/>
      <c r="G74" s="570"/>
      <c r="H74" s="570"/>
      <c r="I74" s="570"/>
      <c r="J74" s="570"/>
      <c r="K74" s="567"/>
    </row>
    <row r="75" spans="1:11" ht="15" customHeight="1" thickBot="1" x14ac:dyDescent="0.25">
      <c r="A75" s="566"/>
      <c r="B75" s="564"/>
      <c r="C75" s="564"/>
      <c r="D75" s="568"/>
      <c r="E75" s="571"/>
      <c r="F75" s="572"/>
      <c r="G75" s="572"/>
      <c r="H75" s="572"/>
      <c r="I75" s="572"/>
      <c r="J75" s="572"/>
      <c r="K75" s="568"/>
    </row>
    <row r="76" spans="1:11" ht="14.25" customHeight="1" x14ac:dyDescent="0.2">
      <c r="A76" s="565" t="s">
        <v>181</v>
      </c>
      <c r="B76" s="563"/>
      <c r="C76" s="563">
        <v>0</v>
      </c>
      <c r="D76" s="567"/>
      <c r="E76" s="569" t="s">
        <v>456</v>
      </c>
      <c r="F76" s="570"/>
      <c r="G76" s="570"/>
      <c r="H76" s="570"/>
      <c r="I76" s="570"/>
      <c r="J76" s="570"/>
      <c r="K76" s="567"/>
    </row>
    <row r="77" spans="1:11" ht="15" customHeight="1" thickBot="1" x14ac:dyDescent="0.25">
      <c r="A77" s="566"/>
      <c r="B77" s="564"/>
      <c r="C77" s="564"/>
      <c r="D77" s="568"/>
      <c r="E77" s="571"/>
      <c r="F77" s="572"/>
      <c r="G77" s="572"/>
      <c r="H77" s="572"/>
      <c r="I77" s="572"/>
      <c r="J77" s="572"/>
      <c r="K77" s="568"/>
    </row>
    <row r="78" spans="1:11" ht="14.25" customHeight="1" x14ac:dyDescent="0.2">
      <c r="A78" s="565" t="s">
        <v>182</v>
      </c>
      <c r="B78" s="563">
        <v>0</v>
      </c>
      <c r="C78" s="575"/>
      <c r="D78" s="567"/>
      <c r="E78" s="569"/>
      <c r="F78" s="570"/>
      <c r="G78" s="570"/>
      <c r="H78" s="570"/>
      <c r="I78" s="570"/>
      <c r="J78" s="570"/>
      <c r="K78" s="567"/>
    </row>
    <row r="79" spans="1:11" ht="15" customHeight="1" thickBot="1" x14ac:dyDescent="0.25">
      <c r="A79" s="566"/>
      <c r="B79" s="564"/>
      <c r="C79" s="568"/>
      <c r="D79" s="568"/>
      <c r="E79" s="571"/>
      <c r="F79" s="572"/>
      <c r="G79" s="572"/>
      <c r="H79" s="572"/>
      <c r="I79" s="572"/>
      <c r="J79" s="572"/>
      <c r="K79" s="568"/>
    </row>
    <row r="80" spans="1:11" ht="14.25" customHeight="1" x14ac:dyDescent="0.2">
      <c r="A80" s="565" t="s">
        <v>183</v>
      </c>
      <c r="B80" s="563">
        <v>0</v>
      </c>
      <c r="C80" s="567"/>
      <c r="D80" s="567"/>
      <c r="E80" s="569"/>
      <c r="F80" s="570"/>
      <c r="G80" s="570"/>
      <c r="H80" s="570"/>
      <c r="I80" s="570"/>
      <c r="J80" s="570"/>
      <c r="K80" s="567"/>
    </row>
    <row r="81" spans="1:11" ht="15" customHeight="1" thickBot="1" x14ac:dyDescent="0.25">
      <c r="A81" s="566"/>
      <c r="B81" s="564"/>
      <c r="C81" s="568"/>
      <c r="D81" s="568"/>
      <c r="E81" s="571"/>
      <c r="F81" s="572"/>
      <c r="G81" s="572"/>
      <c r="H81" s="572"/>
      <c r="I81" s="572"/>
      <c r="J81" s="572"/>
      <c r="K81" s="568"/>
    </row>
    <row r="82" spans="1:11" ht="14.25" customHeight="1" x14ac:dyDescent="0.2">
      <c r="A82" s="565" t="s">
        <v>184</v>
      </c>
      <c r="B82" s="563">
        <v>0</v>
      </c>
      <c r="C82" s="567"/>
      <c r="D82" s="567"/>
      <c r="E82" s="569"/>
      <c r="F82" s="570"/>
      <c r="G82" s="570"/>
      <c r="H82" s="570"/>
      <c r="I82" s="570"/>
      <c r="J82" s="570"/>
      <c r="K82" s="567"/>
    </row>
    <row r="83" spans="1:11" ht="15" customHeight="1" thickBot="1" x14ac:dyDescent="0.25">
      <c r="A83" s="566"/>
      <c r="B83" s="564"/>
      <c r="C83" s="568"/>
      <c r="D83" s="568"/>
      <c r="E83" s="571"/>
      <c r="F83" s="572"/>
      <c r="G83" s="572"/>
      <c r="H83" s="572"/>
      <c r="I83" s="572"/>
      <c r="J83" s="572"/>
      <c r="K83" s="568"/>
    </row>
    <row r="84" spans="1:11" ht="14.25" customHeight="1" x14ac:dyDescent="0.2">
      <c r="A84" s="565" t="s">
        <v>185</v>
      </c>
      <c r="B84" s="563">
        <v>0</v>
      </c>
      <c r="C84" s="567"/>
      <c r="D84" s="575"/>
      <c r="E84" s="569"/>
      <c r="F84" s="570"/>
      <c r="G84" s="570"/>
      <c r="H84" s="570"/>
      <c r="I84" s="570"/>
      <c r="J84" s="570"/>
      <c r="K84" s="567"/>
    </row>
    <row r="85" spans="1:11" ht="15" customHeight="1" thickBot="1" x14ac:dyDescent="0.25">
      <c r="A85" s="566"/>
      <c r="B85" s="564"/>
      <c r="C85" s="568"/>
      <c r="D85" s="568"/>
      <c r="E85" s="571"/>
      <c r="F85" s="572"/>
      <c r="G85" s="572"/>
      <c r="H85" s="572"/>
      <c r="I85" s="572"/>
      <c r="J85" s="572"/>
      <c r="K85" s="568"/>
    </row>
    <row r="86" spans="1:11" ht="14.25" customHeight="1" x14ac:dyDescent="0.2">
      <c r="A86" s="565" t="s">
        <v>186</v>
      </c>
      <c r="B86" s="563">
        <v>0</v>
      </c>
      <c r="C86" s="563"/>
      <c r="D86" s="567"/>
      <c r="E86" s="569"/>
      <c r="F86" s="570"/>
      <c r="G86" s="570"/>
      <c r="H86" s="570"/>
      <c r="I86" s="570"/>
      <c r="J86" s="570"/>
      <c r="K86" s="567"/>
    </row>
    <row r="87" spans="1:11" ht="15" customHeight="1" thickBot="1" x14ac:dyDescent="0.25">
      <c r="A87" s="566"/>
      <c r="B87" s="564"/>
      <c r="C87" s="564"/>
      <c r="D87" s="568"/>
      <c r="E87" s="571"/>
      <c r="F87" s="572"/>
      <c r="G87" s="572"/>
      <c r="H87" s="572"/>
      <c r="I87" s="572"/>
      <c r="J87" s="572"/>
      <c r="K87" s="568"/>
    </row>
    <row r="88" spans="1:11" ht="14.25" customHeight="1" x14ac:dyDescent="0.2">
      <c r="A88" s="565" t="s">
        <v>187</v>
      </c>
      <c r="B88" s="563">
        <v>0</v>
      </c>
      <c r="C88" s="567"/>
      <c r="D88" s="567"/>
      <c r="E88" s="569"/>
      <c r="F88" s="570"/>
      <c r="G88" s="570"/>
      <c r="H88" s="570"/>
      <c r="I88" s="570"/>
      <c r="J88" s="570"/>
      <c r="K88" s="567"/>
    </row>
    <row r="89" spans="1:11" ht="15" customHeight="1" thickBot="1" x14ac:dyDescent="0.25">
      <c r="A89" s="566"/>
      <c r="B89" s="564"/>
      <c r="C89" s="568"/>
      <c r="D89" s="568"/>
      <c r="E89" s="571"/>
      <c r="F89" s="572"/>
      <c r="G89" s="572"/>
      <c r="H89" s="572"/>
      <c r="I89" s="572"/>
      <c r="J89" s="572"/>
      <c r="K89" s="568"/>
    </row>
    <row r="90" spans="1:11" x14ac:dyDescent="0.2">
      <c r="B90">
        <v>0</v>
      </c>
    </row>
    <row r="91" spans="1:11" ht="15.75" x14ac:dyDescent="0.25">
      <c r="A91" s="163" t="s">
        <v>188</v>
      </c>
      <c r="H91" s="345" t="s">
        <v>189</v>
      </c>
      <c r="I91" s="345"/>
      <c r="J91" s="345"/>
    </row>
    <row r="92" spans="1:11" x14ac:dyDescent="0.2">
      <c r="I92" t="s">
        <v>256</v>
      </c>
    </row>
    <row r="93" spans="1:11" x14ac:dyDescent="0.2">
      <c r="A93" t="s">
        <v>108</v>
      </c>
      <c r="B93" t="s">
        <v>310</v>
      </c>
    </row>
    <row r="95" spans="1:11" x14ac:dyDescent="0.2">
      <c r="A95" t="s">
        <v>190</v>
      </c>
      <c r="B95" t="s">
        <v>255</v>
      </c>
    </row>
    <row r="97" spans="1:1" x14ac:dyDescent="0.2">
      <c r="A97" t="s">
        <v>191</v>
      </c>
    </row>
    <row r="112" spans="1:1" ht="15" thickBot="1" x14ac:dyDescent="0.25"/>
    <row r="113" spans="1:11" ht="15" thickBot="1" x14ac:dyDescent="0.25">
      <c r="A113" s="152" t="s">
        <v>38</v>
      </c>
      <c r="B113" s="153" t="s">
        <v>39</v>
      </c>
      <c r="J113" s="153"/>
      <c r="K113" s="154" t="s">
        <v>164</v>
      </c>
    </row>
    <row r="114" spans="1:11" ht="15.75" thickTop="1" thickBot="1" x14ac:dyDescent="0.25">
      <c r="A114" s="155" t="s">
        <v>54</v>
      </c>
      <c r="B114" s="156">
        <v>1</v>
      </c>
      <c r="J114" s="156"/>
      <c r="K114" s="157" t="s">
        <v>165</v>
      </c>
    </row>
    <row r="115" spans="1:11" ht="25.5" thickTop="1" thickBot="1" x14ac:dyDescent="0.25">
      <c r="A115" s="155" t="s">
        <v>40</v>
      </c>
      <c r="B115" s="156" t="s">
        <v>496</v>
      </c>
      <c r="J115" s="156"/>
      <c r="K115" s="157" t="s">
        <v>166</v>
      </c>
    </row>
    <row r="116" spans="1:11" ht="15.75" thickTop="1" thickBot="1" x14ac:dyDescent="0.25">
      <c r="A116" s="155" t="s">
        <v>42</v>
      </c>
      <c r="B116" s="180">
        <v>45066</v>
      </c>
      <c r="J116" s="156"/>
      <c r="K116" s="157" t="s">
        <v>167</v>
      </c>
    </row>
    <row r="117" spans="1:11" ht="17.25" thickTop="1" thickBot="1" x14ac:dyDescent="0.3">
      <c r="A117" s="158" t="s">
        <v>43</v>
      </c>
      <c r="B117" s="253">
        <v>0.375</v>
      </c>
      <c r="E117" s="581" t="s">
        <v>168</v>
      </c>
      <c r="F117" s="581"/>
      <c r="G117" s="581"/>
      <c r="J117" s="159"/>
      <c r="K117" s="160" t="s">
        <v>169</v>
      </c>
    </row>
    <row r="118" spans="1:11" ht="27" x14ac:dyDescent="0.2">
      <c r="E118" s="582" t="s">
        <v>170</v>
      </c>
      <c r="F118" s="582"/>
      <c r="G118" s="582"/>
    </row>
    <row r="119" spans="1:11" ht="15" thickBot="1" x14ac:dyDescent="0.25"/>
    <row r="120" spans="1:11" x14ac:dyDescent="0.2">
      <c r="A120" s="161" t="s">
        <v>171</v>
      </c>
      <c r="B120" s="583" t="s">
        <v>172</v>
      </c>
      <c r="C120" s="583" t="s">
        <v>173</v>
      </c>
      <c r="D120" s="583" t="s">
        <v>174</v>
      </c>
      <c r="E120" s="585" t="s">
        <v>175</v>
      </c>
      <c r="F120" s="586"/>
      <c r="G120" s="586"/>
      <c r="H120" s="586"/>
      <c r="I120" s="586"/>
      <c r="J120" s="586"/>
      <c r="K120" s="583"/>
    </row>
    <row r="121" spans="1:11" ht="15" thickBot="1" x14ac:dyDescent="0.25">
      <c r="A121" s="162" t="s">
        <v>176</v>
      </c>
      <c r="B121" s="584"/>
      <c r="C121" s="584"/>
      <c r="D121" s="584"/>
      <c r="E121" s="587"/>
      <c r="F121" s="588"/>
      <c r="G121" s="588"/>
      <c r="H121" s="588"/>
      <c r="I121" s="588"/>
      <c r="J121" s="588"/>
      <c r="K121" s="584"/>
    </row>
    <row r="122" spans="1:11" ht="14.25" customHeight="1" x14ac:dyDescent="0.2">
      <c r="A122" s="589" t="s">
        <v>177</v>
      </c>
      <c r="B122" s="563"/>
      <c r="C122" s="563">
        <v>0</v>
      </c>
      <c r="D122" s="567"/>
      <c r="E122" s="569" t="s">
        <v>497</v>
      </c>
      <c r="F122" s="570"/>
      <c r="G122" s="570"/>
      <c r="H122" s="570"/>
      <c r="I122" s="570"/>
      <c r="J122" s="570"/>
      <c r="K122" s="567"/>
    </row>
    <row r="123" spans="1:11" ht="15" customHeight="1" thickBot="1" x14ac:dyDescent="0.25">
      <c r="A123" s="590"/>
      <c r="B123" s="564"/>
      <c r="C123" s="564"/>
      <c r="D123" s="568"/>
      <c r="E123" s="571"/>
      <c r="F123" s="572"/>
      <c r="G123" s="572"/>
      <c r="H123" s="572"/>
      <c r="I123" s="572"/>
      <c r="J123" s="572"/>
      <c r="K123" s="568"/>
    </row>
    <row r="124" spans="1:11" ht="14.25" customHeight="1" x14ac:dyDescent="0.2">
      <c r="A124" s="565" t="s">
        <v>178</v>
      </c>
      <c r="B124" s="563">
        <v>0</v>
      </c>
      <c r="C124" s="563"/>
      <c r="D124" s="576"/>
      <c r="E124" s="569"/>
      <c r="F124" s="570"/>
      <c r="G124" s="570"/>
      <c r="H124" s="570"/>
      <c r="I124" s="570"/>
      <c r="J124" s="570"/>
      <c r="K124" s="567"/>
    </row>
    <row r="125" spans="1:11" ht="15" customHeight="1" thickBot="1" x14ac:dyDescent="0.25">
      <c r="A125" s="566"/>
      <c r="B125" s="564"/>
      <c r="C125" s="564"/>
      <c r="D125" s="577"/>
      <c r="E125" s="571"/>
      <c r="F125" s="572"/>
      <c r="G125" s="572"/>
      <c r="H125" s="572"/>
      <c r="I125" s="572"/>
      <c r="J125" s="572"/>
      <c r="K125" s="568"/>
    </row>
    <row r="126" spans="1:11" ht="45.75" thickBot="1" x14ac:dyDescent="0.25">
      <c r="A126" s="277" t="s">
        <v>311</v>
      </c>
      <c r="B126" s="276"/>
      <c r="C126" s="276">
        <v>0</v>
      </c>
      <c r="D126" s="278"/>
      <c r="E126" s="274"/>
      <c r="G126" s="279"/>
      <c r="J126" s="275"/>
      <c r="K126" s="273"/>
    </row>
    <row r="127" spans="1:11" ht="32.25" customHeight="1" thickBot="1" x14ac:dyDescent="0.25">
      <c r="A127" s="254" t="s">
        <v>306</v>
      </c>
      <c r="B127" s="255"/>
      <c r="C127" s="255">
        <v>0</v>
      </c>
      <c r="D127" s="259"/>
      <c r="E127" s="578" t="s">
        <v>498</v>
      </c>
      <c r="F127" s="579"/>
      <c r="G127" s="579"/>
      <c r="H127" s="579"/>
      <c r="I127" s="579"/>
      <c r="J127" s="579"/>
      <c r="K127" s="580"/>
    </row>
    <row r="128" spans="1:11" x14ac:dyDescent="0.2">
      <c r="A128" s="565" t="s">
        <v>179</v>
      </c>
      <c r="B128" s="563">
        <v>0</v>
      </c>
      <c r="C128" s="563"/>
      <c r="D128" s="567"/>
      <c r="E128" s="569"/>
      <c r="F128" s="570"/>
      <c r="G128" s="570"/>
      <c r="H128" s="570"/>
      <c r="I128" s="570"/>
      <c r="J128" s="570"/>
      <c r="K128" s="567"/>
    </row>
    <row r="129" spans="1:11" ht="15" thickBot="1" x14ac:dyDescent="0.25">
      <c r="A129" s="566"/>
      <c r="B129" s="564"/>
      <c r="C129" s="564"/>
      <c r="D129" s="568"/>
      <c r="E129" s="571"/>
      <c r="F129" s="572"/>
      <c r="G129" s="572"/>
      <c r="H129" s="572"/>
      <c r="I129" s="572"/>
      <c r="J129" s="572"/>
      <c r="K129" s="568"/>
    </row>
    <row r="130" spans="1:11" x14ac:dyDescent="0.2">
      <c r="A130" s="565" t="s">
        <v>180</v>
      </c>
      <c r="B130" s="563">
        <v>0</v>
      </c>
      <c r="C130" s="563"/>
      <c r="D130" s="575"/>
      <c r="E130" s="569"/>
      <c r="F130" s="570"/>
      <c r="G130" s="570"/>
      <c r="H130" s="570"/>
      <c r="I130" s="570"/>
      <c r="J130" s="570"/>
      <c r="K130" s="567"/>
    </row>
    <row r="131" spans="1:11" ht="15" thickBot="1" x14ac:dyDescent="0.25">
      <c r="A131" s="566"/>
      <c r="B131" s="564"/>
      <c r="C131" s="564"/>
      <c r="D131" s="568"/>
      <c r="E131" s="571"/>
      <c r="F131" s="572"/>
      <c r="G131" s="572"/>
      <c r="H131" s="572"/>
      <c r="I131" s="572"/>
      <c r="J131" s="572"/>
      <c r="K131" s="568"/>
    </row>
    <row r="132" spans="1:11" x14ac:dyDescent="0.2">
      <c r="A132" s="565" t="s">
        <v>181</v>
      </c>
      <c r="B132" s="563">
        <v>0</v>
      </c>
      <c r="C132" s="563"/>
      <c r="D132" s="567"/>
      <c r="E132" s="569"/>
      <c r="F132" s="570"/>
      <c r="G132" s="570"/>
      <c r="H132" s="570"/>
      <c r="I132" s="570"/>
      <c r="J132" s="570"/>
      <c r="K132" s="567"/>
    </row>
    <row r="133" spans="1:11" ht="15" thickBot="1" x14ac:dyDescent="0.25">
      <c r="A133" s="566"/>
      <c r="B133" s="564"/>
      <c r="C133" s="564"/>
      <c r="D133" s="568"/>
      <c r="E133" s="571"/>
      <c r="F133" s="572"/>
      <c r="G133" s="572"/>
      <c r="H133" s="572"/>
      <c r="I133" s="572"/>
      <c r="J133" s="572"/>
      <c r="K133" s="568"/>
    </row>
    <row r="134" spans="1:11" x14ac:dyDescent="0.2">
      <c r="A134" s="565" t="s">
        <v>182</v>
      </c>
      <c r="B134" s="563">
        <v>0</v>
      </c>
      <c r="C134" s="575"/>
      <c r="D134" s="567"/>
      <c r="E134" s="569"/>
      <c r="F134" s="570"/>
      <c r="G134" s="570"/>
      <c r="H134" s="570"/>
      <c r="I134" s="570"/>
      <c r="J134" s="570"/>
      <c r="K134" s="567"/>
    </row>
    <row r="135" spans="1:11" ht="15" thickBot="1" x14ac:dyDescent="0.25">
      <c r="A135" s="566"/>
      <c r="B135" s="564"/>
      <c r="C135" s="568"/>
      <c r="D135" s="568"/>
      <c r="E135" s="571"/>
      <c r="F135" s="572"/>
      <c r="G135" s="572"/>
      <c r="H135" s="572"/>
      <c r="I135" s="572"/>
      <c r="J135" s="572"/>
      <c r="K135" s="568"/>
    </row>
    <row r="136" spans="1:11" x14ac:dyDescent="0.2">
      <c r="A136" s="565" t="s">
        <v>183</v>
      </c>
      <c r="B136" s="563">
        <v>0</v>
      </c>
      <c r="C136" s="567"/>
      <c r="D136" s="567"/>
      <c r="E136" s="569"/>
      <c r="F136" s="570"/>
      <c r="G136" s="570"/>
      <c r="H136" s="570"/>
      <c r="I136" s="570"/>
      <c r="J136" s="570"/>
      <c r="K136" s="567"/>
    </row>
    <row r="137" spans="1:11" ht="15" thickBot="1" x14ac:dyDescent="0.25">
      <c r="A137" s="566"/>
      <c r="B137" s="564"/>
      <c r="C137" s="568"/>
      <c r="D137" s="568"/>
      <c r="E137" s="571"/>
      <c r="F137" s="572"/>
      <c r="G137" s="572"/>
      <c r="H137" s="572"/>
      <c r="I137" s="572"/>
      <c r="J137" s="572"/>
      <c r="K137" s="568"/>
    </row>
    <row r="138" spans="1:11" x14ac:dyDescent="0.2">
      <c r="A138" s="565" t="s">
        <v>184</v>
      </c>
      <c r="B138" s="563">
        <v>0</v>
      </c>
      <c r="C138" s="567"/>
      <c r="D138" s="567"/>
      <c r="E138" s="569"/>
      <c r="F138" s="570"/>
      <c r="G138" s="570"/>
      <c r="H138" s="570"/>
      <c r="I138" s="570"/>
      <c r="J138" s="570"/>
      <c r="K138" s="567"/>
    </row>
    <row r="139" spans="1:11" ht="15" thickBot="1" x14ac:dyDescent="0.25">
      <c r="A139" s="566"/>
      <c r="B139" s="564"/>
      <c r="C139" s="568"/>
      <c r="D139" s="568"/>
      <c r="E139" s="571"/>
      <c r="F139" s="572"/>
      <c r="G139" s="572"/>
      <c r="H139" s="572"/>
      <c r="I139" s="572"/>
      <c r="J139" s="572"/>
      <c r="K139" s="568"/>
    </row>
    <row r="140" spans="1:11" x14ac:dyDescent="0.2">
      <c r="A140" s="565" t="s">
        <v>185</v>
      </c>
      <c r="B140" s="563">
        <v>0</v>
      </c>
      <c r="C140" s="567"/>
      <c r="D140" s="575"/>
      <c r="E140" s="569"/>
      <c r="F140" s="570"/>
      <c r="G140" s="570"/>
      <c r="H140" s="570"/>
      <c r="I140" s="570"/>
      <c r="J140" s="570"/>
      <c r="K140" s="567"/>
    </row>
    <row r="141" spans="1:11" ht="15" thickBot="1" x14ac:dyDescent="0.25">
      <c r="A141" s="566"/>
      <c r="B141" s="564"/>
      <c r="C141" s="568"/>
      <c r="D141" s="568"/>
      <c r="E141" s="571"/>
      <c r="F141" s="572"/>
      <c r="G141" s="572"/>
      <c r="H141" s="572"/>
      <c r="I141" s="572"/>
      <c r="J141" s="572"/>
      <c r="K141" s="568"/>
    </row>
    <row r="142" spans="1:11" x14ac:dyDescent="0.2">
      <c r="A142" s="565" t="s">
        <v>186</v>
      </c>
      <c r="B142" s="563">
        <v>0</v>
      </c>
      <c r="C142" s="563"/>
      <c r="D142" s="567"/>
      <c r="E142" s="569"/>
      <c r="F142" s="570"/>
      <c r="G142" s="570"/>
      <c r="H142" s="570"/>
      <c r="I142" s="570"/>
      <c r="J142" s="570"/>
      <c r="K142" s="567"/>
    </row>
    <row r="143" spans="1:11" ht="15" thickBot="1" x14ac:dyDescent="0.25">
      <c r="A143" s="566"/>
      <c r="B143" s="564"/>
      <c r="C143" s="564"/>
      <c r="D143" s="568"/>
      <c r="E143" s="571"/>
      <c r="F143" s="572"/>
      <c r="G143" s="572"/>
      <c r="H143" s="572"/>
      <c r="I143" s="572"/>
      <c r="J143" s="572"/>
      <c r="K143" s="568"/>
    </row>
    <row r="144" spans="1:11" x14ac:dyDescent="0.2">
      <c r="A144" s="565" t="s">
        <v>187</v>
      </c>
      <c r="B144" s="563">
        <v>0</v>
      </c>
      <c r="C144" s="567"/>
      <c r="D144" s="567"/>
      <c r="E144" s="569"/>
      <c r="F144" s="570"/>
      <c r="G144" s="570"/>
      <c r="H144" s="570"/>
      <c r="I144" s="570"/>
      <c r="J144" s="570"/>
      <c r="K144" s="567"/>
    </row>
    <row r="145" spans="1:11" ht="15" thickBot="1" x14ac:dyDescent="0.25">
      <c r="A145" s="566"/>
      <c r="B145" s="564"/>
      <c r="C145" s="568"/>
      <c r="D145" s="568"/>
      <c r="E145" s="571"/>
      <c r="F145" s="572"/>
      <c r="G145" s="572"/>
      <c r="H145" s="572"/>
      <c r="I145" s="572"/>
      <c r="J145" s="572"/>
      <c r="K145" s="568"/>
    </row>
    <row r="147" spans="1:11" ht="15.75" x14ac:dyDescent="0.25">
      <c r="A147" s="163" t="s">
        <v>188</v>
      </c>
      <c r="H147" s="345" t="s">
        <v>189</v>
      </c>
      <c r="I147" s="345"/>
      <c r="J147" s="345"/>
    </row>
    <row r="148" spans="1:11" x14ac:dyDescent="0.2">
      <c r="I148" t="s">
        <v>256</v>
      </c>
    </row>
    <row r="149" spans="1:11" x14ac:dyDescent="0.2">
      <c r="A149" t="s">
        <v>108</v>
      </c>
      <c r="B149" t="s">
        <v>310</v>
      </c>
    </row>
    <row r="151" spans="1:11" x14ac:dyDescent="0.2">
      <c r="A151" t="s">
        <v>190</v>
      </c>
      <c r="B151" t="s">
        <v>255</v>
      </c>
    </row>
    <row r="153" spans="1:11" x14ac:dyDescent="0.2">
      <c r="A153" t="s">
        <v>191</v>
      </c>
    </row>
    <row r="171" spans="1:11" ht="15" thickBot="1" x14ac:dyDescent="0.25"/>
    <row r="172" spans="1:11" ht="15" thickBot="1" x14ac:dyDescent="0.25">
      <c r="A172" s="152" t="s">
        <v>38</v>
      </c>
      <c r="B172" s="153" t="s">
        <v>39</v>
      </c>
      <c r="J172" s="153"/>
      <c r="K172" s="154" t="s">
        <v>164</v>
      </c>
    </row>
    <row r="173" spans="1:11" ht="15.75" thickTop="1" thickBot="1" x14ac:dyDescent="0.25">
      <c r="A173" s="155" t="s">
        <v>54</v>
      </c>
      <c r="B173" s="156">
        <v>1</v>
      </c>
      <c r="J173" s="156"/>
      <c r="K173" s="157" t="s">
        <v>165</v>
      </c>
    </row>
    <row r="174" spans="1:11" ht="25.5" thickTop="1" thickBot="1" x14ac:dyDescent="0.25">
      <c r="A174" s="155" t="s">
        <v>40</v>
      </c>
      <c r="B174" s="156" t="s">
        <v>253</v>
      </c>
      <c r="J174" s="156"/>
      <c r="K174" s="157" t="s">
        <v>166</v>
      </c>
    </row>
    <row r="175" spans="1:11" ht="15.75" thickTop="1" thickBot="1" x14ac:dyDescent="0.25">
      <c r="A175" s="155" t="s">
        <v>42</v>
      </c>
      <c r="B175" s="180"/>
      <c r="J175" s="156"/>
      <c r="K175" s="157" t="s">
        <v>167</v>
      </c>
    </row>
    <row r="176" spans="1:11" ht="17.25" thickTop="1" thickBot="1" x14ac:dyDescent="0.3">
      <c r="A176" s="158" t="s">
        <v>43</v>
      </c>
      <c r="B176" s="159"/>
      <c r="E176" s="581" t="s">
        <v>168</v>
      </c>
      <c r="F176" s="581"/>
      <c r="G176" s="581"/>
      <c r="J176" s="159"/>
      <c r="K176" s="160" t="s">
        <v>169</v>
      </c>
    </row>
    <row r="177" spans="1:11" ht="27" x14ac:dyDescent="0.2">
      <c r="E177" s="582" t="s">
        <v>170</v>
      </c>
      <c r="F177" s="582"/>
      <c r="G177" s="582"/>
    </row>
    <row r="178" spans="1:11" ht="15" thickBot="1" x14ac:dyDescent="0.25"/>
    <row r="179" spans="1:11" x14ac:dyDescent="0.2">
      <c r="A179" s="161" t="s">
        <v>171</v>
      </c>
      <c r="B179" s="583" t="s">
        <v>172</v>
      </c>
      <c r="C179" s="583" t="s">
        <v>173</v>
      </c>
      <c r="D179" s="583" t="s">
        <v>174</v>
      </c>
      <c r="E179" s="585" t="s">
        <v>175</v>
      </c>
      <c r="F179" s="586"/>
      <c r="G179" s="586"/>
      <c r="H179" s="586"/>
      <c r="I179" s="586"/>
      <c r="J179" s="586"/>
      <c r="K179" s="583"/>
    </row>
    <row r="180" spans="1:11" ht="15" thickBot="1" x14ac:dyDescent="0.25">
      <c r="A180" s="162" t="s">
        <v>176</v>
      </c>
      <c r="B180" s="584"/>
      <c r="C180" s="584"/>
      <c r="D180" s="584"/>
      <c r="E180" s="587"/>
      <c r="F180" s="588"/>
      <c r="G180" s="588"/>
      <c r="H180" s="588"/>
      <c r="I180" s="588"/>
      <c r="J180" s="588"/>
      <c r="K180" s="584"/>
    </row>
    <row r="181" spans="1:11" ht="14.25" customHeight="1" x14ac:dyDescent="0.2">
      <c r="A181" s="589" t="s">
        <v>177</v>
      </c>
      <c r="B181" s="282"/>
      <c r="C181" s="563"/>
      <c r="D181" s="567"/>
      <c r="E181" s="569"/>
      <c r="F181" s="570"/>
      <c r="G181" s="570"/>
      <c r="H181" s="570"/>
      <c r="I181" s="570"/>
      <c r="J181" s="570"/>
      <c r="K181" s="567"/>
    </row>
    <row r="182" spans="1:11" ht="15" customHeight="1" thickBot="1" x14ac:dyDescent="0.25">
      <c r="A182" s="590"/>
      <c r="B182" s="283"/>
      <c r="C182" s="564"/>
      <c r="D182" s="568"/>
      <c r="E182" s="571"/>
      <c r="F182" s="572"/>
      <c r="G182" s="572"/>
      <c r="H182" s="572"/>
      <c r="I182" s="572"/>
      <c r="J182" s="572"/>
      <c r="K182" s="568"/>
    </row>
    <row r="183" spans="1:11" x14ac:dyDescent="0.2">
      <c r="A183" s="565" t="s">
        <v>178</v>
      </c>
      <c r="B183" s="563"/>
      <c r="C183" s="563"/>
      <c r="D183" s="576"/>
      <c r="E183" s="569"/>
      <c r="F183" s="570"/>
      <c r="G183" s="570"/>
      <c r="H183" s="570"/>
      <c r="I183" s="570"/>
      <c r="J183" s="570"/>
      <c r="K183" s="567"/>
    </row>
    <row r="184" spans="1:11" ht="15" thickBot="1" x14ac:dyDescent="0.25">
      <c r="A184" s="566"/>
      <c r="B184" s="564"/>
      <c r="C184" s="564"/>
      <c r="D184" s="577"/>
      <c r="E184" s="571"/>
      <c r="F184" s="572"/>
      <c r="G184" s="572"/>
      <c r="H184" s="572"/>
      <c r="I184" s="572"/>
      <c r="J184" s="572"/>
      <c r="K184" s="568"/>
    </row>
    <row r="185" spans="1:11" ht="30.75" customHeight="1" thickBot="1" x14ac:dyDescent="0.25">
      <c r="A185" s="254" t="s">
        <v>306</v>
      </c>
      <c r="B185" s="255"/>
      <c r="C185" s="255"/>
      <c r="D185" s="259"/>
      <c r="E185" s="578"/>
      <c r="F185" s="579"/>
      <c r="G185" s="579"/>
      <c r="H185" s="579"/>
      <c r="I185" s="579"/>
      <c r="J185" s="579"/>
      <c r="K185" s="580"/>
    </row>
    <row r="186" spans="1:11" x14ac:dyDescent="0.2">
      <c r="A186" s="565" t="s">
        <v>179</v>
      </c>
      <c r="B186" s="563"/>
      <c r="C186" s="563"/>
      <c r="D186" s="567"/>
      <c r="E186" s="569"/>
      <c r="F186" s="570"/>
      <c r="G186" s="570"/>
      <c r="H186" s="570"/>
      <c r="I186" s="570"/>
      <c r="J186" s="570"/>
      <c r="K186" s="567"/>
    </row>
    <row r="187" spans="1:11" ht="15" thickBot="1" x14ac:dyDescent="0.25">
      <c r="A187" s="566"/>
      <c r="B187" s="564"/>
      <c r="C187" s="564"/>
      <c r="D187" s="568"/>
      <c r="E187" s="571"/>
      <c r="F187" s="572"/>
      <c r="G187" s="572"/>
      <c r="H187" s="572"/>
      <c r="I187" s="572"/>
      <c r="J187" s="572"/>
      <c r="K187" s="568"/>
    </row>
    <row r="188" spans="1:11" x14ac:dyDescent="0.2">
      <c r="A188" s="565" t="s">
        <v>180</v>
      </c>
      <c r="B188" s="563"/>
      <c r="C188" s="563"/>
      <c r="D188" s="575"/>
      <c r="E188" s="569"/>
      <c r="F188" s="570"/>
      <c r="G188" s="570"/>
      <c r="H188" s="570"/>
      <c r="I188" s="570"/>
      <c r="J188" s="570"/>
      <c r="K188" s="567"/>
    </row>
    <row r="189" spans="1:11" ht="15" thickBot="1" x14ac:dyDescent="0.25">
      <c r="A189" s="566"/>
      <c r="B189" s="564"/>
      <c r="C189" s="564"/>
      <c r="D189" s="568"/>
      <c r="E189" s="571"/>
      <c r="F189" s="572"/>
      <c r="G189" s="572"/>
      <c r="H189" s="572"/>
      <c r="I189" s="572"/>
      <c r="J189" s="572"/>
      <c r="K189" s="568"/>
    </row>
    <row r="190" spans="1:11" x14ac:dyDescent="0.2">
      <c r="A190" s="565" t="s">
        <v>181</v>
      </c>
      <c r="B190" s="563"/>
      <c r="C190" s="563"/>
      <c r="D190" s="567"/>
      <c r="E190" s="569"/>
      <c r="F190" s="570"/>
      <c r="G190" s="570"/>
      <c r="H190" s="570"/>
      <c r="I190" s="570"/>
      <c r="J190" s="570"/>
      <c r="K190" s="567"/>
    </row>
    <row r="191" spans="1:11" ht="15" thickBot="1" x14ac:dyDescent="0.25">
      <c r="A191" s="566"/>
      <c r="B191" s="564"/>
      <c r="C191" s="564"/>
      <c r="D191" s="568"/>
      <c r="E191" s="571"/>
      <c r="F191" s="572"/>
      <c r="G191" s="572"/>
      <c r="H191" s="572"/>
      <c r="I191" s="572"/>
      <c r="J191" s="572"/>
      <c r="K191" s="568"/>
    </row>
    <row r="192" spans="1:11" x14ac:dyDescent="0.2">
      <c r="A192" s="565" t="s">
        <v>182</v>
      </c>
      <c r="B192" s="563"/>
      <c r="C192" s="575"/>
      <c r="D192" s="567"/>
      <c r="E192" s="569"/>
      <c r="F192" s="570"/>
      <c r="G192" s="570"/>
      <c r="H192" s="570"/>
      <c r="I192" s="570"/>
      <c r="J192" s="570"/>
      <c r="K192" s="567"/>
    </row>
    <row r="193" spans="1:11" ht="15" thickBot="1" x14ac:dyDescent="0.25">
      <c r="A193" s="566"/>
      <c r="B193" s="564"/>
      <c r="C193" s="568"/>
      <c r="D193" s="568"/>
      <c r="E193" s="571"/>
      <c r="F193" s="572"/>
      <c r="G193" s="572"/>
      <c r="H193" s="572"/>
      <c r="I193" s="572"/>
      <c r="J193" s="572"/>
      <c r="K193" s="568"/>
    </row>
    <row r="194" spans="1:11" x14ac:dyDescent="0.2">
      <c r="A194" s="565" t="s">
        <v>183</v>
      </c>
      <c r="B194" s="563"/>
      <c r="C194" s="567"/>
      <c r="D194" s="567"/>
      <c r="E194" s="569"/>
      <c r="F194" s="570"/>
      <c r="G194" s="570"/>
      <c r="H194" s="570"/>
      <c r="I194" s="570"/>
      <c r="J194" s="570"/>
      <c r="K194" s="567"/>
    </row>
    <row r="195" spans="1:11" ht="15" thickBot="1" x14ac:dyDescent="0.25">
      <c r="A195" s="566"/>
      <c r="B195" s="564"/>
      <c r="C195" s="568"/>
      <c r="D195" s="568"/>
      <c r="E195" s="571"/>
      <c r="F195" s="572"/>
      <c r="G195" s="572"/>
      <c r="H195" s="572"/>
      <c r="I195" s="572"/>
      <c r="J195" s="572"/>
      <c r="K195" s="568"/>
    </row>
    <row r="196" spans="1:11" x14ac:dyDescent="0.2">
      <c r="A196" s="565" t="s">
        <v>184</v>
      </c>
      <c r="B196" s="563"/>
      <c r="C196" s="573"/>
      <c r="D196" s="567"/>
      <c r="E196" s="569"/>
      <c r="F196" s="570"/>
      <c r="G196" s="570"/>
      <c r="H196" s="570"/>
      <c r="I196" s="570"/>
      <c r="J196" s="570"/>
      <c r="K196" s="567"/>
    </row>
    <row r="197" spans="1:11" ht="15" thickBot="1" x14ac:dyDescent="0.25">
      <c r="A197" s="566"/>
      <c r="B197" s="564"/>
      <c r="C197" s="574"/>
      <c r="D197" s="568"/>
      <c r="E197" s="571"/>
      <c r="F197" s="572"/>
      <c r="G197" s="572"/>
      <c r="H197" s="572"/>
      <c r="I197" s="572"/>
      <c r="J197" s="572"/>
      <c r="K197" s="568"/>
    </row>
    <row r="198" spans="1:11" x14ac:dyDescent="0.2">
      <c r="A198" s="565" t="s">
        <v>185</v>
      </c>
      <c r="B198" s="563"/>
      <c r="C198" s="567"/>
      <c r="D198" s="575"/>
      <c r="E198" s="569"/>
      <c r="F198" s="570"/>
      <c r="G198" s="570"/>
      <c r="H198" s="570"/>
      <c r="I198" s="570"/>
      <c r="J198" s="570"/>
      <c r="K198" s="567"/>
    </row>
    <row r="199" spans="1:11" ht="15" thickBot="1" x14ac:dyDescent="0.25">
      <c r="A199" s="566"/>
      <c r="B199" s="564"/>
      <c r="C199" s="568"/>
      <c r="D199" s="568"/>
      <c r="E199" s="571"/>
      <c r="F199" s="572"/>
      <c r="G199" s="572"/>
      <c r="H199" s="572"/>
      <c r="I199" s="572"/>
      <c r="J199" s="572"/>
      <c r="K199" s="568"/>
    </row>
    <row r="200" spans="1:11" x14ac:dyDescent="0.2">
      <c r="A200" s="565" t="s">
        <v>186</v>
      </c>
      <c r="B200" s="563"/>
      <c r="C200" s="563"/>
      <c r="D200" s="567"/>
      <c r="E200" s="569"/>
      <c r="F200" s="570"/>
      <c r="G200" s="570"/>
      <c r="H200" s="570"/>
      <c r="I200" s="570"/>
      <c r="J200" s="570"/>
      <c r="K200" s="567"/>
    </row>
    <row r="201" spans="1:11" ht="15" thickBot="1" x14ac:dyDescent="0.25">
      <c r="A201" s="566"/>
      <c r="B201" s="564"/>
      <c r="C201" s="564"/>
      <c r="D201" s="568"/>
      <c r="E201" s="571"/>
      <c r="F201" s="572"/>
      <c r="G201" s="572"/>
      <c r="H201" s="572"/>
      <c r="I201" s="572"/>
      <c r="J201" s="572"/>
      <c r="K201" s="568"/>
    </row>
    <row r="202" spans="1:11" x14ac:dyDescent="0.2">
      <c r="A202" s="565" t="s">
        <v>187</v>
      </c>
      <c r="B202" s="563"/>
      <c r="C202" s="567"/>
      <c r="D202" s="567"/>
      <c r="E202" s="569"/>
      <c r="F202" s="570"/>
      <c r="G202" s="570"/>
      <c r="H202" s="570"/>
      <c r="I202" s="570"/>
      <c r="J202" s="570"/>
      <c r="K202" s="567"/>
    </row>
    <row r="203" spans="1:11" ht="15" thickBot="1" x14ac:dyDescent="0.25">
      <c r="A203" s="566"/>
      <c r="B203" s="564"/>
      <c r="C203" s="568"/>
      <c r="D203" s="568"/>
      <c r="E203" s="571"/>
      <c r="F203" s="572"/>
      <c r="G203" s="572"/>
      <c r="H203" s="572"/>
      <c r="I203" s="572"/>
      <c r="J203" s="572"/>
      <c r="K203" s="568"/>
    </row>
    <row r="205" spans="1:11" ht="15.75" x14ac:dyDescent="0.25">
      <c r="A205" s="163" t="s">
        <v>188</v>
      </c>
      <c r="H205" s="345" t="s">
        <v>189</v>
      </c>
      <c r="I205" s="345"/>
      <c r="J205" s="345"/>
    </row>
    <row r="206" spans="1:11" x14ac:dyDescent="0.2">
      <c r="I206" t="s">
        <v>256</v>
      </c>
    </row>
    <row r="207" spans="1:11" x14ac:dyDescent="0.2">
      <c r="A207" t="s">
        <v>108</v>
      </c>
      <c r="B207" t="s">
        <v>310</v>
      </c>
    </row>
    <row r="209" spans="1:2" x14ac:dyDescent="0.2">
      <c r="A209" t="s">
        <v>190</v>
      </c>
      <c r="B209" t="s">
        <v>255</v>
      </c>
    </row>
    <row r="211" spans="1:2" x14ac:dyDescent="0.2">
      <c r="A211" t="s">
        <v>191</v>
      </c>
    </row>
    <row r="232" spans="1:11" ht="15" thickBot="1" x14ac:dyDescent="0.25"/>
    <row r="233" spans="1:11" ht="24.75" thickBot="1" x14ac:dyDescent="0.25">
      <c r="A233" s="152" t="s">
        <v>331</v>
      </c>
      <c r="B233" s="153" t="s">
        <v>39</v>
      </c>
      <c r="J233" s="153"/>
      <c r="K233" s="154" t="s">
        <v>164</v>
      </c>
    </row>
    <row r="234" spans="1:11" ht="15.75" thickTop="1" thickBot="1" x14ac:dyDescent="0.25">
      <c r="A234" s="155" t="s">
        <v>54</v>
      </c>
      <c r="B234" s="156">
        <v>1</v>
      </c>
      <c r="J234" s="156"/>
      <c r="K234" s="157" t="s">
        <v>165</v>
      </c>
    </row>
    <row r="235" spans="1:11" ht="25.5" thickTop="1" thickBot="1" x14ac:dyDescent="0.25">
      <c r="A235" s="155" t="s">
        <v>40</v>
      </c>
      <c r="B235" s="156" t="s">
        <v>253</v>
      </c>
      <c r="J235" s="156"/>
      <c r="K235" s="157" t="s">
        <v>166</v>
      </c>
    </row>
    <row r="236" spans="1:11" ht="15.75" thickTop="1" thickBot="1" x14ac:dyDescent="0.25">
      <c r="A236" s="155" t="s">
        <v>42</v>
      </c>
      <c r="B236" s="180"/>
      <c r="J236" s="156"/>
      <c r="K236" s="157" t="s">
        <v>167</v>
      </c>
    </row>
    <row r="237" spans="1:11" ht="17.25" thickTop="1" thickBot="1" x14ac:dyDescent="0.3">
      <c r="A237" s="158" t="s">
        <v>43</v>
      </c>
      <c r="B237" s="159"/>
      <c r="E237" s="581" t="s">
        <v>168</v>
      </c>
      <c r="F237" s="581"/>
      <c r="G237" s="581"/>
      <c r="J237" s="159"/>
      <c r="K237" s="160" t="s">
        <v>169</v>
      </c>
    </row>
    <row r="238" spans="1:11" ht="27" x14ac:dyDescent="0.2">
      <c r="E238" s="582" t="s">
        <v>170</v>
      </c>
      <c r="F238" s="582"/>
      <c r="G238" s="582"/>
    </row>
    <row r="239" spans="1:11" ht="15" thickBot="1" x14ac:dyDescent="0.25"/>
    <row r="240" spans="1:11" x14ac:dyDescent="0.2">
      <c r="A240" s="161" t="s">
        <v>171</v>
      </c>
      <c r="B240" s="583" t="s">
        <v>172</v>
      </c>
      <c r="C240" s="583" t="s">
        <v>173</v>
      </c>
      <c r="D240" s="583" t="s">
        <v>174</v>
      </c>
      <c r="E240" s="585" t="s">
        <v>175</v>
      </c>
      <c r="F240" s="586"/>
      <c r="G240" s="586"/>
      <c r="H240" s="586"/>
      <c r="I240" s="586"/>
      <c r="J240" s="586"/>
      <c r="K240" s="583"/>
    </row>
    <row r="241" spans="1:18" ht="15" thickBot="1" x14ac:dyDescent="0.25">
      <c r="A241" s="162" t="s">
        <v>176</v>
      </c>
      <c r="B241" s="584"/>
      <c r="C241" s="584"/>
      <c r="D241" s="584"/>
      <c r="E241" s="587"/>
      <c r="F241" s="588"/>
      <c r="G241" s="588"/>
      <c r="H241" s="588"/>
      <c r="I241" s="588"/>
      <c r="J241" s="588"/>
      <c r="K241" s="584"/>
    </row>
    <row r="242" spans="1:18" x14ac:dyDescent="0.2">
      <c r="A242" s="589" t="s">
        <v>177</v>
      </c>
      <c r="B242" s="563"/>
      <c r="C242" s="567"/>
      <c r="D242" s="567"/>
      <c r="E242" s="569"/>
      <c r="F242" s="570"/>
      <c r="G242" s="570"/>
      <c r="H242" s="570"/>
      <c r="I242" s="570"/>
      <c r="J242" s="570"/>
      <c r="K242" s="567"/>
    </row>
    <row r="243" spans="1:18" ht="15" thickBot="1" x14ac:dyDescent="0.25">
      <c r="A243" s="590"/>
      <c r="B243" s="564"/>
      <c r="C243" s="568"/>
      <c r="D243" s="568"/>
      <c r="E243" s="571"/>
      <c r="F243" s="572"/>
      <c r="G243" s="572"/>
      <c r="H243" s="572"/>
      <c r="I243" s="572"/>
      <c r="J243" s="572"/>
      <c r="K243" s="568"/>
    </row>
    <row r="244" spans="1:18" x14ac:dyDescent="0.2">
      <c r="A244" s="565" t="s">
        <v>178</v>
      </c>
      <c r="B244" s="563"/>
      <c r="C244" s="563"/>
      <c r="D244" s="576"/>
      <c r="E244" s="569"/>
      <c r="F244" s="570"/>
      <c r="G244" s="570"/>
      <c r="H244" s="570"/>
      <c r="I244" s="570"/>
      <c r="J244" s="570"/>
      <c r="K244" s="567"/>
    </row>
    <row r="245" spans="1:18" ht="15" thickBot="1" x14ac:dyDescent="0.25">
      <c r="A245" s="566"/>
      <c r="B245" s="564"/>
      <c r="C245" s="564"/>
      <c r="D245" s="577"/>
      <c r="E245" s="571"/>
      <c r="F245" s="572"/>
      <c r="G245" s="572"/>
      <c r="H245" s="572"/>
      <c r="I245" s="572"/>
      <c r="J245" s="572"/>
      <c r="K245" s="568"/>
    </row>
    <row r="246" spans="1:18" ht="45.75" thickBot="1" x14ac:dyDescent="0.25">
      <c r="A246" s="254" t="s">
        <v>306</v>
      </c>
      <c r="B246" s="255"/>
      <c r="C246" s="255"/>
      <c r="D246" s="259"/>
      <c r="E246" s="578"/>
      <c r="F246" s="579"/>
      <c r="G246" s="579"/>
      <c r="H246" s="579"/>
      <c r="I246" s="579"/>
      <c r="J246" s="579"/>
      <c r="K246" s="580"/>
    </row>
    <row r="247" spans="1:18" x14ac:dyDescent="0.2">
      <c r="A247" s="565" t="s">
        <v>179</v>
      </c>
      <c r="B247" s="563"/>
      <c r="C247" s="563"/>
      <c r="D247" s="567"/>
      <c r="E247" s="569"/>
      <c r="F247" s="570"/>
      <c r="G247" s="570"/>
      <c r="H247" s="570"/>
      <c r="I247" s="570"/>
      <c r="J247" s="570"/>
      <c r="K247" s="567"/>
    </row>
    <row r="248" spans="1:18" ht="15" thickBot="1" x14ac:dyDescent="0.25">
      <c r="A248" s="566"/>
      <c r="B248" s="564"/>
      <c r="C248" s="564"/>
      <c r="D248" s="568"/>
      <c r="E248" s="571"/>
      <c r="F248" s="572"/>
      <c r="G248" s="572"/>
      <c r="H248" s="572"/>
      <c r="I248" s="572"/>
      <c r="J248" s="572"/>
      <c r="K248" s="568"/>
      <c r="P248" s="281"/>
      <c r="Q248" s="281"/>
      <c r="R248" s="281"/>
    </row>
    <row r="249" spans="1:18" x14ac:dyDescent="0.2">
      <c r="A249" s="565" t="s">
        <v>180</v>
      </c>
      <c r="B249" s="563"/>
      <c r="C249" s="563"/>
      <c r="D249" s="575"/>
      <c r="E249" s="569"/>
      <c r="F249" s="570"/>
      <c r="G249" s="570"/>
      <c r="H249" s="570"/>
      <c r="I249" s="570"/>
      <c r="J249" s="570"/>
      <c r="K249" s="567"/>
      <c r="P249" s="281" t="s">
        <v>312</v>
      </c>
      <c r="Q249" s="281" t="s">
        <v>315</v>
      </c>
      <c r="R249" s="281"/>
    </row>
    <row r="250" spans="1:18" ht="15" thickBot="1" x14ac:dyDescent="0.25">
      <c r="A250" s="566"/>
      <c r="B250" s="564"/>
      <c r="C250" s="564"/>
      <c r="D250" s="568"/>
      <c r="E250" s="571"/>
      <c r="F250" s="572"/>
      <c r="G250" s="572"/>
      <c r="H250" s="572"/>
      <c r="I250" s="572"/>
      <c r="J250" s="572"/>
      <c r="K250" s="568"/>
      <c r="P250" s="281" t="s">
        <v>313</v>
      </c>
      <c r="Q250" s="281"/>
      <c r="R250" s="281"/>
    </row>
    <row r="251" spans="1:18" x14ac:dyDescent="0.2">
      <c r="A251" s="565" t="s">
        <v>181</v>
      </c>
      <c r="B251" s="563"/>
      <c r="C251" s="563"/>
      <c r="D251" s="567"/>
      <c r="E251" s="569"/>
      <c r="F251" s="570"/>
      <c r="G251" s="570"/>
      <c r="H251" s="570"/>
      <c r="I251" s="570"/>
      <c r="J251" s="570"/>
      <c r="K251" s="567"/>
      <c r="P251" s="281" t="s">
        <v>314</v>
      </c>
      <c r="Q251" s="281"/>
      <c r="R251" s="281"/>
    </row>
    <row r="252" spans="1:18" ht="15" thickBot="1" x14ac:dyDescent="0.25">
      <c r="A252" s="566"/>
      <c r="B252" s="564"/>
      <c r="C252" s="564"/>
      <c r="D252" s="568"/>
      <c r="E252" s="571"/>
      <c r="F252" s="572"/>
      <c r="G252" s="572"/>
      <c r="H252" s="572"/>
      <c r="I252" s="572"/>
      <c r="J252" s="572"/>
      <c r="K252" s="568"/>
      <c r="P252" s="281"/>
      <c r="Q252" s="281"/>
      <c r="R252" s="281"/>
    </row>
    <row r="253" spans="1:18" x14ac:dyDescent="0.2">
      <c r="A253" s="565" t="s">
        <v>182</v>
      </c>
      <c r="B253" s="563"/>
      <c r="C253" s="575"/>
      <c r="D253" s="567"/>
      <c r="E253" s="569"/>
      <c r="F253" s="570"/>
      <c r="G253" s="570"/>
      <c r="H253" s="570"/>
      <c r="I253" s="570"/>
      <c r="J253" s="570"/>
      <c r="K253" s="567"/>
      <c r="P253" s="281"/>
      <c r="Q253" s="281"/>
      <c r="R253" s="281"/>
    </row>
    <row r="254" spans="1:18" ht="15" thickBot="1" x14ac:dyDescent="0.25">
      <c r="A254" s="566"/>
      <c r="B254" s="564"/>
      <c r="C254" s="568"/>
      <c r="D254" s="568"/>
      <c r="E254" s="571"/>
      <c r="F254" s="572"/>
      <c r="G254" s="572"/>
      <c r="H254" s="572"/>
      <c r="I254" s="572"/>
      <c r="J254" s="572"/>
      <c r="K254" s="568"/>
    </row>
    <row r="255" spans="1:18" x14ac:dyDescent="0.2">
      <c r="A255" s="565" t="s">
        <v>183</v>
      </c>
      <c r="B255" s="563"/>
      <c r="C255" s="567"/>
      <c r="D255" s="567"/>
      <c r="E255" s="569"/>
      <c r="F255" s="570"/>
      <c r="G255" s="570"/>
      <c r="H255" s="570"/>
      <c r="I255" s="570"/>
      <c r="J255" s="570"/>
      <c r="K255" s="567"/>
    </row>
    <row r="256" spans="1:18" ht="15" thickBot="1" x14ac:dyDescent="0.25">
      <c r="A256" s="566"/>
      <c r="B256" s="564"/>
      <c r="C256" s="568"/>
      <c r="D256" s="568"/>
      <c r="E256" s="571"/>
      <c r="F256" s="572"/>
      <c r="G256" s="572"/>
      <c r="H256" s="572"/>
      <c r="I256" s="572"/>
      <c r="J256" s="572"/>
      <c r="K256" s="568"/>
    </row>
    <row r="257" spans="1:11" x14ac:dyDescent="0.2">
      <c r="A257" s="565" t="s">
        <v>184</v>
      </c>
      <c r="B257" s="563"/>
      <c r="C257" s="573"/>
      <c r="D257" s="567"/>
      <c r="E257" s="569"/>
      <c r="F257" s="570"/>
      <c r="G257" s="570"/>
      <c r="H257" s="570"/>
      <c r="I257" s="570"/>
      <c r="J257" s="570"/>
      <c r="K257" s="567"/>
    </row>
    <row r="258" spans="1:11" ht="15" thickBot="1" x14ac:dyDescent="0.25">
      <c r="A258" s="566"/>
      <c r="B258" s="564"/>
      <c r="C258" s="574"/>
      <c r="D258" s="568"/>
      <c r="E258" s="571"/>
      <c r="F258" s="572"/>
      <c r="G258" s="572"/>
      <c r="H258" s="572"/>
      <c r="I258" s="572"/>
      <c r="J258" s="572"/>
      <c r="K258" s="568"/>
    </row>
    <row r="259" spans="1:11" x14ac:dyDescent="0.2">
      <c r="A259" s="565" t="s">
        <v>185</v>
      </c>
      <c r="B259" s="563"/>
      <c r="C259" s="567"/>
      <c r="D259" s="575"/>
      <c r="E259" s="569"/>
      <c r="F259" s="570"/>
      <c r="G259" s="570"/>
      <c r="H259" s="570"/>
      <c r="I259" s="570"/>
      <c r="J259" s="570"/>
      <c r="K259" s="567"/>
    </row>
    <row r="260" spans="1:11" ht="15" thickBot="1" x14ac:dyDescent="0.25">
      <c r="A260" s="566"/>
      <c r="B260" s="564"/>
      <c r="C260" s="568"/>
      <c r="D260" s="568"/>
      <c r="E260" s="571"/>
      <c r="F260" s="572"/>
      <c r="G260" s="572"/>
      <c r="H260" s="572"/>
      <c r="I260" s="572"/>
      <c r="J260" s="572"/>
      <c r="K260" s="568"/>
    </row>
    <row r="261" spans="1:11" x14ac:dyDescent="0.2">
      <c r="A261" s="565" t="s">
        <v>186</v>
      </c>
      <c r="B261" s="563"/>
      <c r="C261" s="563"/>
      <c r="D261" s="567"/>
      <c r="E261" s="569"/>
      <c r="F261" s="570"/>
      <c r="G261" s="570"/>
      <c r="H261" s="570"/>
      <c r="I261" s="570"/>
      <c r="J261" s="570"/>
      <c r="K261" s="567"/>
    </row>
    <row r="262" spans="1:11" ht="15" thickBot="1" x14ac:dyDescent="0.25">
      <c r="A262" s="566"/>
      <c r="B262" s="564"/>
      <c r="C262" s="564"/>
      <c r="D262" s="568"/>
      <c r="E262" s="571"/>
      <c r="F262" s="572"/>
      <c r="G262" s="572"/>
      <c r="H262" s="572"/>
      <c r="I262" s="572"/>
      <c r="J262" s="572"/>
      <c r="K262" s="568"/>
    </row>
    <row r="263" spans="1:11" x14ac:dyDescent="0.2">
      <c r="A263" s="565" t="s">
        <v>187</v>
      </c>
      <c r="B263" s="563"/>
      <c r="C263" s="567"/>
      <c r="D263" s="567"/>
      <c r="E263" s="569"/>
      <c r="F263" s="570"/>
      <c r="G263" s="570"/>
      <c r="H263" s="570"/>
      <c r="I263" s="570"/>
      <c r="J263" s="570"/>
      <c r="K263" s="567"/>
    </row>
    <row r="264" spans="1:11" ht="15" thickBot="1" x14ac:dyDescent="0.25">
      <c r="A264" s="566"/>
      <c r="B264" s="564"/>
      <c r="C264" s="568"/>
      <c r="D264" s="568"/>
      <c r="E264" s="571"/>
      <c r="F264" s="572"/>
      <c r="G264" s="572"/>
      <c r="H264" s="572"/>
      <c r="I264" s="572"/>
      <c r="J264" s="572"/>
      <c r="K264" s="568"/>
    </row>
    <row r="266" spans="1:11" ht="15.75" x14ac:dyDescent="0.25">
      <c r="A266" s="163" t="s">
        <v>188</v>
      </c>
      <c r="H266" s="345" t="s">
        <v>189</v>
      </c>
      <c r="I266" s="345"/>
      <c r="J266" s="345"/>
    </row>
    <row r="267" spans="1:11" x14ac:dyDescent="0.2">
      <c r="I267" t="s">
        <v>256</v>
      </c>
    </row>
    <row r="268" spans="1:11" x14ac:dyDescent="0.2">
      <c r="A268" t="s">
        <v>108</v>
      </c>
      <c r="B268" t="s">
        <v>310</v>
      </c>
    </row>
    <row r="270" spans="1:11" x14ac:dyDescent="0.2">
      <c r="A270" t="s">
        <v>190</v>
      </c>
      <c r="B270" t="s">
        <v>255</v>
      </c>
    </row>
    <row r="272" spans="1:11" x14ac:dyDescent="0.2">
      <c r="A272" t="s">
        <v>191</v>
      </c>
    </row>
    <row r="280" spans="1:11" ht="15" thickBot="1" x14ac:dyDescent="0.25"/>
    <row r="281" spans="1:11" ht="24.75" thickBot="1" x14ac:dyDescent="0.25">
      <c r="A281" s="152" t="s">
        <v>331</v>
      </c>
      <c r="B281" s="153" t="s">
        <v>39</v>
      </c>
      <c r="J281" s="153"/>
      <c r="K281" s="154" t="s">
        <v>164</v>
      </c>
    </row>
    <row r="282" spans="1:11" ht="15.75" thickTop="1" thickBot="1" x14ac:dyDescent="0.25">
      <c r="A282" s="155" t="s">
        <v>54</v>
      </c>
      <c r="B282" s="156">
        <v>1</v>
      </c>
      <c r="J282" s="156"/>
      <c r="K282" s="157" t="s">
        <v>165</v>
      </c>
    </row>
    <row r="283" spans="1:11" ht="25.5" thickTop="1" thickBot="1" x14ac:dyDescent="0.25">
      <c r="A283" s="155" t="s">
        <v>40</v>
      </c>
      <c r="B283" s="156" t="s">
        <v>316</v>
      </c>
      <c r="J283" s="156"/>
      <c r="K283" s="157" t="s">
        <v>166</v>
      </c>
    </row>
    <row r="284" spans="1:11" ht="15.75" thickTop="1" thickBot="1" x14ac:dyDescent="0.25">
      <c r="A284" s="155" t="s">
        <v>42</v>
      </c>
      <c r="B284" s="180"/>
      <c r="J284" s="156"/>
      <c r="K284" s="157" t="s">
        <v>167</v>
      </c>
    </row>
    <row r="285" spans="1:11" ht="17.25" thickTop="1" thickBot="1" x14ac:dyDescent="0.3">
      <c r="A285" s="158" t="s">
        <v>43</v>
      </c>
      <c r="B285" s="253"/>
      <c r="E285" s="581" t="s">
        <v>168</v>
      </c>
      <c r="F285" s="581"/>
      <c r="G285" s="581"/>
      <c r="J285" s="159"/>
      <c r="K285" s="160" t="s">
        <v>169</v>
      </c>
    </row>
    <row r="286" spans="1:11" ht="27" x14ac:dyDescent="0.2">
      <c r="E286" s="582" t="s">
        <v>170</v>
      </c>
      <c r="F286" s="582"/>
      <c r="G286" s="582"/>
    </row>
    <row r="287" spans="1:11" ht="15" thickBot="1" x14ac:dyDescent="0.25"/>
    <row r="288" spans="1:11" x14ac:dyDescent="0.2">
      <c r="A288" s="161" t="s">
        <v>171</v>
      </c>
      <c r="B288" s="583" t="s">
        <v>172</v>
      </c>
      <c r="C288" s="583" t="s">
        <v>173</v>
      </c>
      <c r="D288" s="583" t="s">
        <v>174</v>
      </c>
      <c r="E288" s="585" t="s">
        <v>175</v>
      </c>
      <c r="F288" s="586"/>
      <c r="G288" s="586"/>
      <c r="H288" s="586"/>
      <c r="I288" s="586"/>
      <c r="J288" s="586"/>
      <c r="K288" s="583"/>
    </row>
    <row r="289" spans="1:11" ht="15" thickBot="1" x14ac:dyDescent="0.25">
      <c r="A289" s="162" t="s">
        <v>176</v>
      </c>
      <c r="B289" s="584"/>
      <c r="C289" s="584"/>
      <c r="D289" s="584"/>
      <c r="E289" s="587"/>
      <c r="F289" s="588"/>
      <c r="G289" s="588"/>
      <c r="H289" s="588"/>
      <c r="I289" s="588"/>
      <c r="J289" s="588"/>
      <c r="K289" s="584"/>
    </row>
    <row r="290" spans="1:11" x14ac:dyDescent="0.2">
      <c r="A290" s="589" t="s">
        <v>177</v>
      </c>
      <c r="B290" s="563"/>
      <c r="C290" s="567"/>
      <c r="D290" s="567"/>
      <c r="E290" s="569"/>
      <c r="F290" s="570"/>
      <c r="G290" s="570"/>
      <c r="H290" s="570"/>
      <c r="I290" s="570"/>
      <c r="J290" s="570"/>
      <c r="K290" s="567"/>
    </row>
    <row r="291" spans="1:11" ht="15" thickBot="1" x14ac:dyDescent="0.25">
      <c r="A291" s="590"/>
      <c r="B291" s="564"/>
      <c r="C291" s="568"/>
      <c r="D291" s="568"/>
      <c r="E291" s="571"/>
      <c r="F291" s="572"/>
      <c r="G291" s="572"/>
      <c r="H291" s="572"/>
      <c r="I291" s="572"/>
      <c r="J291" s="572"/>
      <c r="K291" s="568"/>
    </row>
    <row r="292" spans="1:11" x14ac:dyDescent="0.2">
      <c r="A292" s="565" t="s">
        <v>178</v>
      </c>
      <c r="B292" s="563"/>
      <c r="C292" s="563"/>
      <c r="D292" s="576"/>
      <c r="E292" s="569"/>
      <c r="F292" s="570"/>
      <c r="G292" s="570"/>
      <c r="H292" s="570"/>
      <c r="I292" s="570"/>
      <c r="J292" s="570"/>
      <c r="K292" s="567"/>
    </row>
    <row r="293" spans="1:11" ht="15" thickBot="1" x14ac:dyDescent="0.25">
      <c r="A293" s="566"/>
      <c r="B293" s="564"/>
      <c r="C293" s="564"/>
      <c r="D293" s="577"/>
      <c r="E293" s="571"/>
      <c r="F293" s="572"/>
      <c r="G293" s="572"/>
      <c r="H293" s="572"/>
      <c r="I293" s="572"/>
      <c r="J293" s="572"/>
      <c r="K293" s="568"/>
    </row>
    <row r="294" spans="1:11" ht="45.75" thickBot="1" x14ac:dyDescent="0.25">
      <c r="A294" s="254" t="s">
        <v>306</v>
      </c>
      <c r="B294" s="255"/>
      <c r="C294" s="255"/>
      <c r="D294" s="259"/>
      <c r="E294" s="578"/>
      <c r="F294" s="579"/>
      <c r="G294" s="579"/>
      <c r="H294" s="579"/>
      <c r="I294" s="579"/>
      <c r="J294" s="579"/>
      <c r="K294" s="580"/>
    </row>
    <row r="295" spans="1:11" x14ac:dyDescent="0.2">
      <c r="A295" s="565" t="s">
        <v>179</v>
      </c>
      <c r="B295" s="563"/>
      <c r="C295" s="563"/>
      <c r="D295" s="567"/>
      <c r="E295" s="569"/>
      <c r="F295" s="570"/>
      <c r="G295" s="570"/>
      <c r="H295" s="570"/>
      <c r="I295" s="570"/>
      <c r="J295" s="570"/>
      <c r="K295" s="567"/>
    </row>
    <row r="296" spans="1:11" ht="15" thickBot="1" x14ac:dyDescent="0.25">
      <c r="A296" s="566"/>
      <c r="B296" s="564"/>
      <c r="C296" s="564"/>
      <c r="D296" s="568"/>
      <c r="E296" s="571"/>
      <c r="F296" s="572"/>
      <c r="G296" s="572"/>
      <c r="H296" s="572"/>
      <c r="I296" s="572"/>
      <c r="J296" s="572"/>
      <c r="K296" s="568"/>
    </row>
    <row r="297" spans="1:11" x14ac:dyDescent="0.2">
      <c r="A297" s="565" t="s">
        <v>180</v>
      </c>
      <c r="B297" s="563"/>
      <c r="C297" s="563"/>
      <c r="D297" s="575"/>
      <c r="E297" s="569"/>
      <c r="F297" s="570"/>
      <c r="G297" s="570"/>
      <c r="H297" s="570"/>
      <c r="I297" s="570"/>
      <c r="J297" s="570"/>
      <c r="K297" s="567"/>
    </row>
    <row r="298" spans="1:11" ht="15" thickBot="1" x14ac:dyDescent="0.25">
      <c r="A298" s="566"/>
      <c r="B298" s="564"/>
      <c r="C298" s="564"/>
      <c r="D298" s="568"/>
      <c r="E298" s="571"/>
      <c r="F298" s="572"/>
      <c r="G298" s="572"/>
      <c r="H298" s="572"/>
      <c r="I298" s="572"/>
      <c r="J298" s="572"/>
      <c r="K298" s="568"/>
    </row>
    <row r="299" spans="1:11" x14ac:dyDescent="0.2">
      <c r="A299" s="565" t="s">
        <v>181</v>
      </c>
      <c r="B299" s="563"/>
      <c r="C299" s="563"/>
      <c r="D299" s="567"/>
      <c r="E299" s="569"/>
      <c r="F299" s="570"/>
      <c r="G299" s="570"/>
      <c r="H299" s="570"/>
      <c r="I299" s="570"/>
      <c r="J299" s="570"/>
      <c r="K299" s="567"/>
    </row>
    <row r="300" spans="1:11" ht="15" thickBot="1" x14ac:dyDescent="0.25">
      <c r="A300" s="566"/>
      <c r="B300" s="564"/>
      <c r="C300" s="564"/>
      <c r="D300" s="568"/>
      <c r="E300" s="571"/>
      <c r="F300" s="572"/>
      <c r="G300" s="572"/>
      <c r="H300" s="572"/>
      <c r="I300" s="572"/>
      <c r="J300" s="572"/>
      <c r="K300" s="568"/>
    </row>
    <row r="301" spans="1:11" x14ac:dyDescent="0.2">
      <c r="A301" s="565" t="s">
        <v>182</v>
      </c>
      <c r="B301" s="563"/>
      <c r="C301" s="575"/>
      <c r="D301" s="567"/>
      <c r="E301" s="569"/>
      <c r="F301" s="570"/>
      <c r="G301" s="570"/>
      <c r="H301" s="570"/>
      <c r="I301" s="570"/>
      <c r="J301" s="570"/>
      <c r="K301" s="567"/>
    </row>
    <row r="302" spans="1:11" ht="15" thickBot="1" x14ac:dyDescent="0.25">
      <c r="A302" s="566"/>
      <c r="B302" s="564"/>
      <c r="C302" s="568"/>
      <c r="D302" s="568"/>
      <c r="E302" s="571"/>
      <c r="F302" s="572"/>
      <c r="G302" s="572"/>
      <c r="H302" s="572"/>
      <c r="I302" s="572"/>
      <c r="J302" s="572"/>
      <c r="K302" s="568"/>
    </row>
    <row r="303" spans="1:11" x14ac:dyDescent="0.2">
      <c r="A303" s="565" t="s">
        <v>183</v>
      </c>
      <c r="B303" s="563"/>
      <c r="C303" s="567"/>
      <c r="D303" s="567"/>
      <c r="E303" s="569"/>
      <c r="F303" s="570"/>
      <c r="G303" s="570"/>
      <c r="H303" s="570"/>
      <c r="I303" s="570"/>
      <c r="J303" s="570"/>
      <c r="K303" s="567"/>
    </row>
    <row r="304" spans="1:11" ht="15" thickBot="1" x14ac:dyDescent="0.25">
      <c r="A304" s="566"/>
      <c r="B304" s="564"/>
      <c r="C304" s="568"/>
      <c r="D304" s="568"/>
      <c r="E304" s="571"/>
      <c r="F304" s="572"/>
      <c r="G304" s="572"/>
      <c r="H304" s="572"/>
      <c r="I304" s="572"/>
      <c r="J304" s="572"/>
      <c r="K304" s="568"/>
    </row>
    <row r="305" spans="1:11" x14ac:dyDescent="0.2">
      <c r="A305" s="565" t="s">
        <v>184</v>
      </c>
      <c r="B305" s="563"/>
      <c r="C305" s="573"/>
      <c r="D305" s="567"/>
      <c r="E305" s="569"/>
      <c r="F305" s="570"/>
      <c r="G305" s="570"/>
      <c r="H305" s="570"/>
      <c r="I305" s="570"/>
      <c r="J305" s="570"/>
      <c r="K305" s="567"/>
    </row>
    <row r="306" spans="1:11" ht="15" thickBot="1" x14ac:dyDescent="0.25">
      <c r="A306" s="566"/>
      <c r="B306" s="564"/>
      <c r="C306" s="574"/>
      <c r="D306" s="568"/>
      <c r="E306" s="571"/>
      <c r="F306" s="572"/>
      <c r="G306" s="572"/>
      <c r="H306" s="572"/>
      <c r="I306" s="572"/>
      <c r="J306" s="572"/>
      <c r="K306" s="568"/>
    </row>
    <row r="307" spans="1:11" x14ac:dyDescent="0.2">
      <c r="A307" s="565" t="s">
        <v>185</v>
      </c>
      <c r="B307" s="563"/>
      <c r="C307" s="567"/>
      <c r="D307" s="575"/>
      <c r="E307" s="569"/>
      <c r="F307" s="570"/>
      <c r="G307" s="570"/>
      <c r="H307" s="570"/>
      <c r="I307" s="570"/>
      <c r="J307" s="570"/>
      <c r="K307" s="567"/>
    </row>
    <row r="308" spans="1:11" ht="15" thickBot="1" x14ac:dyDescent="0.25">
      <c r="A308" s="566"/>
      <c r="B308" s="564"/>
      <c r="C308" s="568"/>
      <c r="D308" s="568"/>
      <c r="E308" s="571"/>
      <c r="F308" s="572"/>
      <c r="G308" s="572"/>
      <c r="H308" s="572"/>
      <c r="I308" s="572"/>
      <c r="J308" s="572"/>
      <c r="K308" s="568"/>
    </row>
    <row r="309" spans="1:11" x14ac:dyDescent="0.2">
      <c r="A309" s="565" t="s">
        <v>186</v>
      </c>
      <c r="B309" s="563"/>
      <c r="C309" s="563"/>
      <c r="D309" s="567"/>
      <c r="E309" s="569"/>
      <c r="F309" s="570"/>
      <c r="G309" s="570"/>
      <c r="H309" s="570"/>
      <c r="I309" s="570"/>
      <c r="J309" s="570"/>
      <c r="K309" s="567"/>
    </row>
    <row r="310" spans="1:11" ht="15" thickBot="1" x14ac:dyDescent="0.25">
      <c r="A310" s="566"/>
      <c r="B310" s="564"/>
      <c r="C310" s="564"/>
      <c r="D310" s="568"/>
      <c r="E310" s="571"/>
      <c r="F310" s="572"/>
      <c r="G310" s="572"/>
      <c r="H310" s="572"/>
      <c r="I310" s="572"/>
      <c r="J310" s="572"/>
      <c r="K310" s="568"/>
    </row>
    <row r="311" spans="1:11" x14ac:dyDescent="0.2">
      <c r="A311" s="565" t="s">
        <v>187</v>
      </c>
      <c r="B311" s="563"/>
      <c r="C311" s="567"/>
      <c r="D311" s="567"/>
      <c r="E311" s="569"/>
      <c r="F311" s="570"/>
      <c r="G311" s="570"/>
      <c r="H311" s="570"/>
      <c r="I311" s="570"/>
      <c r="J311" s="570"/>
      <c r="K311" s="567"/>
    </row>
    <row r="312" spans="1:11" ht="15" thickBot="1" x14ac:dyDescent="0.25">
      <c r="A312" s="566"/>
      <c r="B312" s="564"/>
      <c r="C312" s="568"/>
      <c r="D312" s="568"/>
      <c r="E312" s="571"/>
      <c r="F312" s="572"/>
      <c r="G312" s="572"/>
      <c r="H312" s="572"/>
      <c r="I312" s="572"/>
      <c r="J312" s="572"/>
      <c r="K312" s="568"/>
    </row>
    <row r="314" spans="1:11" ht="15.75" x14ac:dyDescent="0.25">
      <c r="A314" s="163" t="s">
        <v>188</v>
      </c>
      <c r="H314" s="345" t="s">
        <v>189</v>
      </c>
      <c r="I314" s="345"/>
      <c r="J314" s="345"/>
    </row>
    <row r="315" spans="1:11" x14ac:dyDescent="0.2">
      <c r="I315" t="s">
        <v>256</v>
      </c>
    </row>
    <row r="316" spans="1:11" x14ac:dyDescent="0.2">
      <c r="A316" t="s">
        <v>108</v>
      </c>
      <c r="B316" t="s">
        <v>310</v>
      </c>
    </row>
  </sheetData>
  <mergeCells count="375">
    <mergeCell ref="H205:J205"/>
    <mergeCell ref="A200:A201"/>
    <mergeCell ref="B200:B201"/>
    <mergeCell ref="C200:C201"/>
    <mergeCell ref="D200:D201"/>
    <mergeCell ref="E200:K201"/>
    <mergeCell ref="A202:A203"/>
    <mergeCell ref="B202:B203"/>
    <mergeCell ref="C202:C203"/>
    <mergeCell ref="D202:D203"/>
    <mergeCell ref="E202:K203"/>
    <mergeCell ref="A196:A197"/>
    <mergeCell ref="B196:B197"/>
    <mergeCell ref="C196:C197"/>
    <mergeCell ref="D196:D197"/>
    <mergeCell ref="E196:K197"/>
    <mergeCell ref="A198:A199"/>
    <mergeCell ref="B198:B199"/>
    <mergeCell ref="C198:C199"/>
    <mergeCell ref="D198:D199"/>
    <mergeCell ref="E198:K199"/>
    <mergeCell ref="A192:A193"/>
    <mergeCell ref="B192:B193"/>
    <mergeCell ref="C192:C193"/>
    <mergeCell ref="D192:D193"/>
    <mergeCell ref="E192:K193"/>
    <mergeCell ref="A194:A195"/>
    <mergeCell ref="B194:B195"/>
    <mergeCell ref="C194:C195"/>
    <mergeCell ref="D194:D195"/>
    <mergeCell ref="E194:K195"/>
    <mergeCell ref="A188:A189"/>
    <mergeCell ref="B188:B189"/>
    <mergeCell ref="C188:C189"/>
    <mergeCell ref="D188:D189"/>
    <mergeCell ref="E188:K189"/>
    <mergeCell ref="A190:A191"/>
    <mergeCell ref="B190:B191"/>
    <mergeCell ref="C190:C191"/>
    <mergeCell ref="D190:D191"/>
    <mergeCell ref="E190:K191"/>
    <mergeCell ref="A183:A184"/>
    <mergeCell ref="B183:B184"/>
    <mergeCell ref="C183:C184"/>
    <mergeCell ref="D183:D184"/>
    <mergeCell ref="E183:K184"/>
    <mergeCell ref="E185:K185"/>
    <mergeCell ref="A186:A187"/>
    <mergeCell ref="B186:B187"/>
    <mergeCell ref="C186:C187"/>
    <mergeCell ref="D186:D187"/>
    <mergeCell ref="E186:K187"/>
    <mergeCell ref="E176:G176"/>
    <mergeCell ref="E177:G177"/>
    <mergeCell ref="B179:B180"/>
    <mergeCell ref="C179:C180"/>
    <mergeCell ref="D179:D180"/>
    <mergeCell ref="E179:K180"/>
    <mergeCell ref="A181:A182"/>
    <mergeCell ref="C181:C182"/>
    <mergeCell ref="D181:D182"/>
    <mergeCell ref="E181:K182"/>
    <mergeCell ref="H91:J91"/>
    <mergeCell ref="A88:A89"/>
    <mergeCell ref="B88:B89"/>
    <mergeCell ref="C88:C89"/>
    <mergeCell ref="D88:D89"/>
    <mergeCell ref="E88:K89"/>
    <mergeCell ref="A86:A87"/>
    <mergeCell ref="B86:B87"/>
    <mergeCell ref="C86:C87"/>
    <mergeCell ref="D86:D87"/>
    <mergeCell ref="E86:K87"/>
    <mergeCell ref="A84:A85"/>
    <mergeCell ref="B84:B85"/>
    <mergeCell ref="C84:C85"/>
    <mergeCell ref="D84:D85"/>
    <mergeCell ref="E84:K85"/>
    <mergeCell ref="A82:A83"/>
    <mergeCell ref="B82:B83"/>
    <mergeCell ref="C82:C83"/>
    <mergeCell ref="D82:D83"/>
    <mergeCell ref="E82:K83"/>
    <mergeCell ref="A80:A81"/>
    <mergeCell ref="B80:B81"/>
    <mergeCell ref="C80:C81"/>
    <mergeCell ref="D80:D81"/>
    <mergeCell ref="E80:K81"/>
    <mergeCell ref="A78:A79"/>
    <mergeCell ref="B78:B79"/>
    <mergeCell ref="C78:C79"/>
    <mergeCell ref="D78:D79"/>
    <mergeCell ref="E78:K79"/>
    <mergeCell ref="A76:A77"/>
    <mergeCell ref="B76:B77"/>
    <mergeCell ref="C76:C77"/>
    <mergeCell ref="D76:D77"/>
    <mergeCell ref="E76:K77"/>
    <mergeCell ref="A74:A75"/>
    <mergeCell ref="B74:B75"/>
    <mergeCell ref="C74:C75"/>
    <mergeCell ref="D74:D75"/>
    <mergeCell ref="E74:K75"/>
    <mergeCell ref="E60:G60"/>
    <mergeCell ref="E61:G61"/>
    <mergeCell ref="A72:A73"/>
    <mergeCell ref="B72:B73"/>
    <mergeCell ref="C72:C73"/>
    <mergeCell ref="D72:D73"/>
    <mergeCell ref="E72:K73"/>
    <mergeCell ref="A67:A70"/>
    <mergeCell ref="B67:B70"/>
    <mergeCell ref="C67:C70"/>
    <mergeCell ref="C65:C66"/>
    <mergeCell ref="E67:K70"/>
    <mergeCell ref="A65:A66"/>
    <mergeCell ref="B65:B66"/>
    <mergeCell ref="D65:D66"/>
    <mergeCell ref="E65:K66"/>
    <mergeCell ref="B63:B64"/>
    <mergeCell ref="C63:C64"/>
    <mergeCell ref="D63:D64"/>
    <mergeCell ref="E63:K64"/>
    <mergeCell ref="D67:D70"/>
    <mergeCell ref="A17:A18"/>
    <mergeCell ref="C17:C18"/>
    <mergeCell ref="D17:D18"/>
    <mergeCell ref="E17:K18"/>
    <mergeCell ref="A15:A16"/>
    <mergeCell ref="C15:C16"/>
    <mergeCell ref="D15:D16"/>
    <mergeCell ref="E15:K16"/>
    <mergeCell ref="E5:G5"/>
    <mergeCell ref="E6:G6"/>
    <mergeCell ref="B8:B9"/>
    <mergeCell ref="C8:C9"/>
    <mergeCell ref="D8:D9"/>
    <mergeCell ref="E8:K9"/>
    <mergeCell ref="A12:A13"/>
    <mergeCell ref="B12:B13"/>
    <mergeCell ref="C12:C13"/>
    <mergeCell ref="D12:D13"/>
    <mergeCell ref="E12:K13"/>
    <mergeCell ref="A10:A11"/>
    <mergeCell ref="B10:B11"/>
    <mergeCell ref="C10:C11"/>
    <mergeCell ref="D10:D11"/>
    <mergeCell ref="E10:K11"/>
    <mergeCell ref="A21:A22"/>
    <mergeCell ref="B21:B22"/>
    <mergeCell ref="C21:C22"/>
    <mergeCell ref="D21:D22"/>
    <mergeCell ref="E21:K22"/>
    <mergeCell ref="A19:A20"/>
    <mergeCell ref="B19:B20"/>
    <mergeCell ref="C19:C20"/>
    <mergeCell ref="D19:D20"/>
    <mergeCell ref="E19:K20"/>
    <mergeCell ref="A25:A26"/>
    <mergeCell ref="B25:B26"/>
    <mergeCell ref="C25:C26"/>
    <mergeCell ref="D25:D26"/>
    <mergeCell ref="E25:K26"/>
    <mergeCell ref="A23:A24"/>
    <mergeCell ref="B23:B24"/>
    <mergeCell ref="C23:C24"/>
    <mergeCell ref="D23:D24"/>
    <mergeCell ref="E23:K24"/>
    <mergeCell ref="H34:J34"/>
    <mergeCell ref="A27:A28"/>
    <mergeCell ref="B27:B28"/>
    <mergeCell ref="C27:C28"/>
    <mergeCell ref="D27:D28"/>
    <mergeCell ref="E27:K28"/>
    <mergeCell ref="A29:A30"/>
    <mergeCell ref="B29:B30"/>
    <mergeCell ref="C29:C30"/>
    <mergeCell ref="D29:D30"/>
    <mergeCell ref="E29:K30"/>
    <mergeCell ref="A31:A32"/>
    <mergeCell ref="B31:B32"/>
    <mergeCell ref="C31:C32"/>
    <mergeCell ref="D31:D32"/>
    <mergeCell ref="E31:K32"/>
    <mergeCell ref="E117:G117"/>
    <mergeCell ref="E118:G118"/>
    <mergeCell ref="B120:B121"/>
    <mergeCell ref="C120:C121"/>
    <mergeCell ref="D120:D121"/>
    <mergeCell ref="E120:K121"/>
    <mergeCell ref="A122:A123"/>
    <mergeCell ref="B122:B123"/>
    <mergeCell ref="C122:C123"/>
    <mergeCell ref="D122:D123"/>
    <mergeCell ref="E122:K123"/>
    <mergeCell ref="A124:A125"/>
    <mergeCell ref="B124:B125"/>
    <mergeCell ref="C124:C125"/>
    <mergeCell ref="D124:D125"/>
    <mergeCell ref="E124:K125"/>
    <mergeCell ref="A128:A129"/>
    <mergeCell ref="B128:B129"/>
    <mergeCell ref="C128:C129"/>
    <mergeCell ref="D128:D129"/>
    <mergeCell ref="E128:K129"/>
    <mergeCell ref="C134:C135"/>
    <mergeCell ref="D134:D135"/>
    <mergeCell ref="E134:K135"/>
    <mergeCell ref="A136:A137"/>
    <mergeCell ref="B136:B137"/>
    <mergeCell ref="C136:C137"/>
    <mergeCell ref="D136:D137"/>
    <mergeCell ref="E136:K137"/>
    <mergeCell ref="A130:A131"/>
    <mergeCell ref="B130:B131"/>
    <mergeCell ref="C130:C131"/>
    <mergeCell ref="D130:D131"/>
    <mergeCell ref="E130:K131"/>
    <mergeCell ref="A132:A133"/>
    <mergeCell ref="B132:B133"/>
    <mergeCell ref="C132:C133"/>
    <mergeCell ref="D132:D133"/>
    <mergeCell ref="E132:K133"/>
    <mergeCell ref="H147:J147"/>
    <mergeCell ref="E127:K127"/>
    <mergeCell ref="A142:A143"/>
    <mergeCell ref="B142:B143"/>
    <mergeCell ref="C142:C143"/>
    <mergeCell ref="D142:D143"/>
    <mergeCell ref="E142:K143"/>
    <mergeCell ref="A144:A145"/>
    <mergeCell ref="B144:B145"/>
    <mergeCell ref="C144:C145"/>
    <mergeCell ref="D144:D145"/>
    <mergeCell ref="E144:K145"/>
    <mergeCell ref="A138:A139"/>
    <mergeCell ref="B138:B139"/>
    <mergeCell ref="C138:C139"/>
    <mergeCell ref="D138:D139"/>
    <mergeCell ref="E138:K139"/>
    <mergeCell ref="A140:A141"/>
    <mergeCell ref="B140:B141"/>
    <mergeCell ref="C140:C141"/>
    <mergeCell ref="D140:D141"/>
    <mergeCell ref="E140:K141"/>
    <mergeCell ref="A134:A135"/>
    <mergeCell ref="B134:B135"/>
    <mergeCell ref="E237:G237"/>
    <mergeCell ref="E238:G238"/>
    <mergeCell ref="B240:B241"/>
    <mergeCell ref="C240:C241"/>
    <mergeCell ref="D240:D241"/>
    <mergeCell ref="E240:K241"/>
    <mergeCell ref="A242:A243"/>
    <mergeCell ref="B242:B243"/>
    <mergeCell ref="C242:C243"/>
    <mergeCell ref="D242:D243"/>
    <mergeCell ref="E242:K243"/>
    <mergeCell ref="A244:A245"/>
    <mergeCell ref="B244:B245"/>
    <mergeCell ref="C244:C245"/>
    <mergeCell ref="D244:D245"/>
    <mergeCell ref="E244:K245"/>
    <mergeCell ref="E246:K246"/>
    <mergeCell ref="A247:A248"/>
    <mergeCell ref="B247:B248"/>
    <mergeCell ref="C247:C248"/>
    <mergeCell ref="D247:D248"/>
    <mergeCell ref="E247:K248"/>
    <mergeCell ref="A249:A250"/>
    <mergeCell ref="B249:B250"/>
    <mergeCell ref="C249:C250"/>
    <mergeCell ref="D249:D250"/>
    <mergeCell ref="E249:K250"/>
    <mergeCell ref="A251:A252"/>
    <mergeCell ref="B251:B252"/>
    <mergeCell ref="C251:C252"/>
    <mergeCell ref="D251:D252"/>
    <mergeCell ref="E251:K252"/>
    <mergeCell ref="A253:A254"/>
    <mergeCell ref="B253:B254"/>
    <mergeCell ref="C253:C254"/>
    <mergeCell ref="D253:D254"/>
    <mergeCell ref="E253:K254"/>
    <mergeCell ref="A255:A256"/>
    <mergeCell ref="B255:B256"/>
    <mergeCell ref="C255:C256"/>
    <mergeCell ref="D255:D256"/>
    <mergeCell ref="E255:K256"/>
    <mergeCell ref="A257:A258"/>
    <mergeCell ref="B257:B258"/>
    <mergeCell ref="C257:C258"/>
    <mergeCell ref="D257:D258"/>
    <mergeCell ref="E257:K258"/>
    <mergeCell ref="A259:A260"/>
    <mergeCell ref="B259:B260"/>
    <mergeCell ref="C259:C260"/>
    <mergeCell ref="D259:D260"/>
    <mergeCell ref="E259:K260"/>
    <mergeCell ref="H266:J266"/>
    <mergeCell ref="A261:A262"/>
    <mergeCell ref="B261:B262"/>
    <mergeCell ref="C261:C262"/>
    <mergeCell ref="D261:D262"/>
    <mergeCell ref="E261:K262"/>
    <mergeCell ref="A263:A264"/>
    <mergeCell ref="B263:B264"/>
    <mergeCell ref="C263:C264"/>
    <mergeCell ref="D263:D264"/>
    <mergeCell ref="E263:K264"/>
    <mergeCell ref="E285:G285"/>
    <mergeCell ref="E286:G286"/>
    <mergeCell ref="B288:B289"/>
    <mergeCell ref="C288:C289"/>
    <mergeCell ref="D288:D289"/>
    <mergeCell ref="E288:K289"/>
    <mergeCell ref="A290:A291"/>
    <mergeCell ref="B290:B291"/>
    <mergeCell ref="C290:C291"/>
    <mergeCell ref="D290:D291"/>
    <mergeCell ref="E290:K291"/>
    <mergeCell ref="A292:A293"/>
    <mergeCell ref="B292:B293"/>
    <mergeCell ref="C292:C293"/>
    <mergeCell ref="D292:D293"/>
    <mergeCell ref="E292:K293"/>
    <mergeCell ref="E294:K294"/>
    <mergeCell ref="A295:A296"/>
    <mergeCell ref="B295:B296"/>
    <mergeCell ref="C295:C296"/>
    <mergeCell ref="D295:D296"/>
    <mergeCell ref="E295:K296"/>
    <mergeCell ref="A297:A298"/>
    <mergeCell ref="B297:B298"/>
    <mergeCell ref="C297:C298"/>
    <mergeCell ref="D297:D298"/>
    <mergeCell ref="E297:K298"/>
    <mergeCell ref="A299:A300"/>
    <mergeCell ref="B299:B300"/>
    <mergeCell ref="C299:C300"/>
    <mergeCell ref="D299:D300"/>
    <mergeCell ref="E299:K300"/>
    <mergeCell ref="B301:B302"/>
    <mergeCell ref="C301:C302"/>
    <mergeCell ref="D301:D302"/>
    <mergeCell ref="E301:K302"/>
    <mergeCell ref="A303:A304"/>
    <mergeCell ref="B303:B304"/>
    <mergeCell ref="C303:C304"/>
    <mergeCell ref="D303:D304"/>
    <mergeCell ref="E303:K304"/>
    <mergeCell ref="H314:J314"/>
    <mergeCell ref="B15:B16"/>
    <mergeCell ref="B17:B18"/>
    <mergeCell ref="A309:A310"/>
    <mergeCell ref="B309:B310"/>
    <mergeCell ref="C309:C310"/>
    <mergeCell ref="D309:D310"/>
    <mergeCell ref="E309:K310"/>
    <mergeCell ref="A311:A312"/>
    <mergeCell ref="B311:B312"/>
    <mergeCell ref="C311:C312"/>
    <mergeCell ref="D311:D312"/>
    <mergeCell ref="E311:K312"/>
    <mergeCell ref="A305:A306"/>
    <mergeCell ref="B305:B306"/>
    <mergeCell ref="C305:C306"/>
    <mergeCell ref="D305:D306"/>
    <mergeCell ref="E305:K306"/>
    <mergeCell ref="A307:A308"/>
    <mergeCell ref="B307:B308"/>
    <mergeCell ref="C307:C308"/>
    <mergeCell ref="D307:D308"/>
    <mergeCell ref="E307:K308"/>
    <mergeCell ref="A301:A302"/>
  </mergeCells>
  <pageMargins left="0.7" right="0.7" top="0.75" bottom="0.75" header="0.3" footer="0.3"/>
  <pageSetup paperSize="9" scale="7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A411-07A8-4F59-9D30-33D62F4F937D}">
  <dimension ref="A1:S691"/>
  <sheetViews>
    <sheetView rightToLeft="1" topLeftCell="A376" zoomScaleNormal="100" workbookViewId="0">
      <selection activeCell="G385" sqref="G385:M386"/>
    </sheetView>
  </sheetViews>
  <sheetFormatPr defaultRowHeight="14.25" x14ac:dyDescent="0.2"/>
  <cols>
    <col min="2" max="2" width="7.625" customWidth="1"/>
    <col min="3" max="4" width="6.5" customWidth="1"/>
    <col min="12" max="12" width="6.25" customWidth="1"/>
    <col min="17" max="17" width="4.875" bestFit="1" customWidth="1"/>
    <col min="18" max="18" width="4.875" customWidth="1"/>
  </cols>
  <sheetData>
    <row r="1" spans="1:11" ht="15" thickBot="1" x14ac:dyDescent="0.25"/>
    <row r="2" spans="1:11" ht="15" thickBot="1" x14ac:dyDescent="0.25">
      <c r="A2" s="164" t="s">
        <v>38</v>
      </c>
      <c r="B2" s="153" t="s">
        <v>39</v>
      </c>
      <c r="J2" s="153"/>
      <c r="K2" s="154" t="s">
        <v>164</v>
      </c>
    </row>
    <row r="3" spans="1:11" ht="15.75" thickTop="1" thickBot="1" x14ac:dyDescent="0.25">
      <c r="A3" s="165" t="s">
        <v>54</v>
      </c>
      <c r="B3" s="156">
        <v>1</v>
      </c>
      <c r="J3" s="156"/>
      <c r="K3" s="157" t="s">
        <v>165</v>
      </c>
    </row>
    <row r="4" spans="1:11" ht="25.5" thickTop="1" thickBot="1" x14ac:dyDescent="0.25">
      <c r="A4" s="165" t="s">
        <v>40</v>
      </c>
      <c r="B4" s="156" t="s">
        <v>390</v>
      </c>
      <c r="J4" s="156"/>
      <c r="K4" s="157" t="s">
        <v>166</v>
      </c>
    </row>
    <row r="5" spans="1:11" ht="15.75" thickTop="1" thickBot="1" x14ac:dyDescent="0.25">
      <c r="A5" s="165" t="s">
        <v>42</v>
      </c>
      <c r="B5" s="177">
        <v>45052</v>
      </c>
      <c r="J5" s="156"/>
      <c r="K5" s="157" t="s">
        <v>167</v>
      </c>
    </row>
    <row r="6" spans="1:11" ht="17.25" thickTop="1" thickBot="1" x14ac:dyDescent="0.3">
      <c r="A6" s="166" t="s">
        <v>43</v>
      </c>
      <c r="B6" s="253">
        <v>0.54166666666666663</v>
      </c>
      <c r="E6" s="581" t="s">
        <v>308</v>
      </c>
      <c r="F6" s="581"/>
      <c r="G6" s="581"/>
      <c r="J6" s="159"/>
      <c r="K6" s="160" t="s">
        <v>169</v>
      </c>
    </row>
    <row r="7" spans="1:11" ht="15" x14ac:dyDescent="0.25">
      <c r="E7" s="617" t="s">
        <v>192</v>
      </c>
      <c r="F7" s="456"/>
      <c r="G7" s="456"/>
    </row>
    <row r="8" spans="1:11" ht="15" thickBot="1" x14ac:dyDescent="0.25"/>
    <row r="9" spans="1:11" x14ac:dyDescent="0.2">
      <c r="A9" s="565" t="s">
        <v>193</v>
      </c>
      <c r="B9" s="583" t="s">
        <v>172</v>
      </c>
      <c r="C9" s="583" t="s">
        <v>173</v>
      </c>
      <c r="D9" s="583" t="s">
        <v>174</v>
      </c>
      <c r="E9" s="585" t="s">
        <v>175</v>
      </c>
      <c r="F9" s="586"/>
      <c r="G9" s="586"/>
      <c r="H9" s="586"/>
      <c r="I9" s="586"/>
      <c r="J9" s="586"/>
      <c r="K9" s="583"/>
    </row>
    <row r="10" spans="1:11" ht="15" thickBot="1" x14ac:dyDescent="0.25">
      <c r="A10" s="566"/>
      <c r="B10" s="584"/>
      <c r="C10" s="584"/>
      <c r="D10" s="584"/>
      <c r="E10" s="587"/>
      <c r="F10" s="588"/>
      <c r="G10" s="588"/>
      <c r="H10" s="588"/>
      <c r="I10" s="588"/>
      <c r="J10" s="588"/>
      <c r="K10" s="584"/>
    </row>
    <row r="11" spans="1:11" x14ac:dyDescent="0.2">
      <c r="A11" s="618">
        <v>1</v>
      </c>
      <c r="B11" s="606">
        <v>0</v>
      </c>
      <c r="C11" s="576"/>
      <c r="D11" s="576"/>
      <c r="E11" s="576"/>
      <c r="F11" s="576"/>
      <c r="G11" s="576"/>
      <c r="H11" s="576"/>
      <c r="I11" s="576"/>
      <c r="J11" s="576"/>
      <c r="K11" s="576"/>
    </row>
    <row r="12" spans="1:11" ht="15" thickBot="1" x14ac:dyDescent="0.25">
      <c r="A12" s="619"/>
      <c r="B12" s="607"/>
      <c r="C12" s="616"/>
      <c r="D12" s="616"/>
      <c r="E12" s="616"/>
      <c r="F12" s="616"/>
      <c r="G12" s="616"/>
      <c r="H12" s="616"/>
      <c r="I12" s="616"/>
      <c r="J12" s="616"/>
      <c r="K12" s="616"/>
    </row>
    <row r="13" spans="1:11" ht="14.25" customHeight="1" x14ac:dyDescent="0.2">
      <c r="A13" s="618">
        <v>2</v>
      </c>
      <c r="B13" s="606">
        <v>0</v>
      </c>
      <c r="C13" s="606"/>
      <c r="D13" s="608"/>
      <c r="E13" s="610"/>
      <c r="F13" s="610"/>
      <c r="G13" s="610"/>
      <c r="H13" s="610"/>
      <c r="I13" s="610"/>
      <c r="J13" s="610"/>
      <c r="K13" s="610"/>
    </row>
    <row r="14" spans="1:11" ht="15" customHeight="1" thickBot="1" x14ac:dyDescent="0.25">
      <c r="A14" s="619"/>
      <c r="B14" s="607"/>
      <c r="C14" s="607"/>
      <c r="D14" s="609"/>
      <c r="E14" s="611"/>
      <c r="F14" s="611"/>
      <c r="G14" s="611"/>
      <c r="H14" s="611"/>
      <c r="I14" s="611"/>
      <c r="J14" s="611"/>
      <c r="K14" s="611"/>
    </row>
    <row r="15" spans="1:11" ht="14.25" customHeight="1" x14ac:dyDescent="0.2">
      <c r="A15" s="618">
        <v>3</v>
      </c>
      <c r="B15" s="606">
        <v>0</v>
      </c>
      <c r="C15" s="606"/>
      <c r="D15" s="608"/>
      <c r="E15" s="610"/>
      <c r="F15" s="610"/>
      <c r="G15" s="610"/>
      <c r="H15" s="610"/>
      <c r="I15" s="610"/>
      <c r="J15" s="610"/>
      <c r="K15" s="610"/>
    </row>
    <row r="16" spans="1:11" ht="15" customHeight="1" thickBot="1" x14ac:dyDescent="0.25">
      <c r="A16" s="619"/>
      <c r="B16" s="607"/>
      <c r="C16" s="607"/>
      <c r="D16" s="609"/>
      <c r="E16" s="611"/>
      <c r="F16" s="611"/>
      <c r="G16" s="611"/>
      <c r="H16" s="611"/>
      <c r="I16" s="611"/>
      <c r="J16" s="611"/>
      <c r="K16" s="611"/>
    </row>
    <row r="17" spans="1:11" ht="14.25" customHeight="1" x14ac:dyDescent="0.2">
      <c r="A17" s="618">
        <v>4</v>
      </c>
      <c r="B17" s="606"/>
      <c r="C17" s="606">
        <v>0</v>
      </c>
      <c r="D17" s="608"/>
      <c r="E17" s="610" t="s">
        <v>396</v>
      </c>
      <c r="F17" s="610"/>
      <c r="G17" s="610"/>
      <c r="H17" s="610"/>
      <c r="I17" s="610"/>
      <c r="J17" s="610"/>
      <c r="K17" s="610"/>
    </row>
    <row r="18" spans="1:11" ht="15" customHeight="1" thickBot="1" x14ac:dyDescent="0.25">
      <c r="A18" s="619"/>
      <c r="B18" s="607"/>
      <c r="C18" s="607"/>
      <c r="D18" s="609"/>
      <c r="E18" s="611"/>
      <c r="F18" s="611"/>
      <c r="G18" s="611"/>
      <c r="H18" s="611"/>
      <c r="I18" s="611"/>
      <c r="J18" s="611"/>
      <c r="K18" s="611"/>
    </row>
    <row r="19" spans="1:11" ht="14.25" customHeight="1" x14ac:dyDescent="0.2">
      <c r="A19" s="618">
        <v>5</v>
      </c>
      <c r="B19" s="606">
        <v>0</v>
      </c>
      <c r="C19" s="608"/>
      <c r="D19" s="608"/>
      <c r="E19" s="610"/>
      <c r="F19" s="610"/>
      <c r="G19" s="610"/>
      <c r="H19" s="610"/>
      <c r="I19" s="610"/>
      <c r="J19" s="610"/>
      <c r="K19" s="610"/>
    </row>
    <row r="20" spans="1:11" ht="15" customHeight="1" thickBot="1" x14ac:dyDescent="0.25">
      <c r="A20" s="619"/>
      <c r="B20" s="607"/>
      <c r="C20" s="609"/>
      <c r="D20" s="609"/>
      <c r="E20" s="611"/>
      <c r="F20" s="611"/>
      <c r="G20" s="611"/>
      <c r="H20" s="611"/>
      <c r="I20" s="611"/>
      <c r="J20" s="611"/>
      <c r="K20" s="611"/>
    </row>
    <row r="21" spans="1:11" ht="14.25" customHeight="1" x14ac:dyDescent="0.2">
      <c r="A21" s="618">
        <v>6</v>
      </c>
      <c r="B21" s="606">
        <v>0</v>
      </c>
      <c r="C21" s="606"/>
      <c r="D21" s="606"/>
      <c r="E21" s="610"/>
      <c r="F21" s="610"/>
      <c r="G21" s="610"/>
      <c r="H21" s="610"/>
      <c r="I21" s="610"/>
      <c r="J21" s="610"/>
      <c r="K21" s="610"/>
    </row>
    <row r="22" spans="1:11" ht="15" customHeight="1" thickBot="1" x14ac:dyDescent="0.25">
      <c r="A22" s="619"/>
      <c r="B22" s="607"/>
      <c r="C22" s="607"/>
      <c r="D22" s="607"/>
      <c r="E22" s="611"/>
      <c r="F22" s="611"/>
      <c r="G22" s="611"/>
      <c r="H22" s="611"/>
      <c r="I22" s="611"/>
      <c r="J22" s="611"/>
      <c r="K22" s="611"/>
    </row>
    <row r="23" spans="1:11" ht="14.25" customHeight="1" x14ac:dyDescent="0.2">
      <c r="A23" s="618">
        <v>7</v>
      </c>
      <c r="B23" s="606">
        <v>0</v>
      </c>
      <c r="C23" s="608"/>
      <c r="D23" s="608"/>
      <c r="E23" s="610"/>
      <c r="F23" s="610"/>
      <c r="G23" s="610"/>
      <c r="H23" s="610"/>
      <c r="I23" s="610"/>
      <c r="J23" s="610"/>
      <c r="K23" s="610"/>
    </row>
    <row r="24" spans="1:11" ht="15" customHeight="1" thickBot="1" x14ac:dyDescent="0.25">
      <c r="A24" s="619"/>
      <c r="B24" s="607"/>
      <c r="C24" s="609"/>
      <c r="D24" s="609"/>
      <c r="E24" s="611"/>
      <c r="F24" s="611"/>
      <c r="G24" s="611"/>
      <c r="H24" s="611"/>
      <c r="I24" s="611"/>
      <c r="J24" s="611"/>
      <c r="K24" s="611"/>
    </row>
    <row r="25" spans="1:11" ht="14.25" customHeight="1" x14ac:dyDescent="0.2">
      <c r="A25" s="618">
        <v>8</v>
      </c>
      <c r="B25" s="606">
        <v>0</v>
      </c>
      <c r="C25" s="575"/>
      <c r="D25" s="608"/>
      <c r="E25" s="614"/>
      <c r="F25" s="614"/>
      <c r="G25" s="614"/>
      <c r="H25" s="614"/>
      <c r="I25" s="614"/>
      <c r="J25" s="614"/>
      <c r="K25" s="614"/>
    </row>
    <row r="26" spans="1:11" ht="15" customHeight="1" thickBot="1" x14ac:dyDescent="0.25">
      <c r="A26" s="619"/>
      <c r="B26" s="607"/>
      <c r="C26" s="568"/>
      <c r="D26" s="609"/>
      <c r="E26" s="615"/>
      <c r="F26" s="615"/>
      <c r="G26" s="615"/>
      <c r="H26" s="615"/>
      <c r="I26" s="615"/>
      <c r="J26" s="615"/>
      <c r="K26" s="615"/>
    </row>
    <row r="27" spans="1:11" ht="14.25" customHeight="1" x14ac:dyDescent="0.2">
      <c r="A27" s="618">
        <v>9</v>
      </c>
      <c r="B27" s="606"/>
      <c r="C27" s="606">
        <v>0</v>
      </c>
      <c r="D27" s="608"/>
      <c r="E27" s="610" t="s">
        <v>397</v>
      </c>
      <c r="F27" s="610"/>
      <c r="G27" s="610"/>
      <c r="H27" s="610"/>
      <c r="I27" s="610"/>
      <c r="J27" s="610"/>
      <c r="K27" s="610"/>
    </row>
    <row r="28" spans="1:11" ht="15" customHeight="1" thickBot="1" x14ac:dyDescent="0.25">
      <c r="A28" s="619"/>
      <c r="B28" s="607"/>
      <c r="C28" s="607"/>
      <c r="D28" s="609"/>
      <c r="E28" s="611"/>
      <c r="F28" s="611"/>
      <c r="G28" s="611"/>
      <c r="H28" s="611"/>
      <c r="I28" s="611"/>
      <c r="J28" s="611"/>
      <c r="K28" s="611"/>
    </row>
    <row r="29" spans="1:11" ht="14.25" customHeight="1" x14ac:dyDescent="0.2">
      <c r="A29" s="618">
        <v>10</v>
      </c>
      <c r="B29" s="606">
        <v>0</v>
      </c>
      <c r="C29" s="606"/>
      <c r="D29" s="608"/>
      <c r="E29" s="610"/>
      <c r="F29" s="610"/>
      <c r="G29" s="610"/>
      <c r="H29" s="610"/>
      <c r="I29" s="610"/>
      <c r="J29" s="610"/>
      <c r="K29" s="610"/>
    </row>
    <row r="30" spans="1:11" ht="15" customHeight="1" thickBot="1" x14ac:dyDescent="0.25">
      <c r="A30" s="619"/>
      <c r="B30" s="607"/>
      <c r="C30" s="607"/>
      <c r="D30" s="609"/>
      <c r="E30" s="611"/>
      <c r="F30" s="611"/>
      <c r="G30" s="611"/>
      <c r="H30" s="611"/>
      <c r="I30" s="611"/>
      <c r="J30" s="611"/>
      <c r="K30" s="611"/>
    </row>
    <row r="31" spans="1:11" ht="14.25" customHeight="1" x14ac:dyDescent="0.2">
      <c r="A31" s="618">
        <v>11</v>
      </c>
      <c r="B31" s="606">
        <v>0</v>
      </c>
      <c r="C31" s="608"/>
      <c r="D31" s="608"/>
      <c r="E31" s="610"/>
      <c r="F31" s="610"/>
      <c r="G31" s="610"/>
      <c r="H31" s="610"/>
      <c r="I31" s="610"/>
      <c r="J31" s="610"/>
      <c r="K31" s="610"/>
    </row>
    <row r="32" spans="1:11" ht="15" customHeight="1" thickBot="1" x14ac:dyDescent="0.25">
      <c r="A32" s="619"/>
      <c r="B32" s="607"/>
      <c r="C32" s="609"/>
      <c r="D32" s="609"/>
      <c r="E32" s="611"/>
      <c r="F32" s="611"/>
      <c r="G32" s="611"/>
      <c r="H32" s="611"/>
      <c r="I32" s="611"/>
      <c r="J32" s="611"/>
      <c r="K32" s="611"/>
    </row>
    <row r="33" spans="1:11" ht="14.25" customHeight="1" x14ac:dyDescent="0.2">
      <c r="A33" s="618">
        <v>12</v>
      </c>
      <c r="B33" s="606">
        <v>0</v>
      </c>
      <c r="C33" s="608"/>
      <c r="D33" s="606"/>
      <c r="E33" s="610"/>
      <c r="F33" s="610"/>
      <c r="G33" s="610"/>
      <c r="H33" s="610"/>
      <c r="I33" s="610"/>
      <c r="J33" s="610"/>
      <c r="K33" s="610"/>
    </row>
    <row r="34" spans="1:11" ht="15" customHeight="1" thickBot="1" x14ac:dyDescent="0.25">
      <c r="A34" s="619"/>
      <c r="B34" s="607"/>
      <c r="C34" s="609"/>
      <c r="D34" s="607"/>
      <c r="E34" s="611"/>
      <c r="F34" s="611"/>
      <c r="G34" s="611"/>
      <c r="H34" s="611"/>
      <c r="I34" s="611"/>
      <c r="J34" s="611"/>
      <c r="K34" s="611"/>
    </row>
    <row r="35" spans="1:11" ht="14.25" customHeight="1" x14ac:dyDescent="0.2">
      <c r="A35" s="618">
        <v>13</v>
      </c>
      <c r="B35" s="606">
        <v>0</v>
      </c>
      <c r="C35" s="606"/>
      <c r="D35" s="608"/>
      <c r="E35" s="610"/>
      <c r="F35" s="610"/>
      <c r="G35" s="610"/>
      <c r="H35" s="610"/>
      <c r="I35" s="610"/>
      <c r="J35" s="610"/>
      <c r="K35" s="610"/>
    </row>
    <row r="36" spans="1:11" ht="15" customHeight="1" thickBot="1" x14ac:dyDescent="0.25">
      <c r="A36" s="619"/>
      <c r="B36" s="607"/>
      <c r="C36" s="607"/>
      <c r="D36" s="609"/>
      <c r="E36" s="611"/>
      <c r="F36" s="611"/>
      <c r="G36" s="611"/>
      <c r="H36" s="611"/>
      <c r="I36" s="611"/>
      <c r="J36" s="611"/>
      <c r="K36" s="611"/>
    </row>
    <row r="37" spans="1:11" ht="14.25" customHeight="1" x14ac:dyDescent="0.2">
      <c r="A37" s="618">
        <v>14</v>
      </c>
      <c r="B37" s="606">
        <v>0</v>
      </c>
      <c r="C37" s="606"/>
      <c r="D37" s="608"/>
      <c r="E37" s="610"/>
      <c r="F37" s="610"/>
      <c r="G37" s="610"/>
      <c r="H37" s="610"/>
      <c r="I37" s="610"/>
      <c r="J37" s="610"/>
      <c r="K37" s="610"/>
    </row>
    <row r="38" spans="1:11" ht="15" customHeight="1" thickBot="1" x14ac:dyDescent="0.25">
      <c r="A38" s="619"/>
      <c r="B38" s="607"/>
      <c r="C38" s="607"/>
      <c r="D38" s="609"/>
      <c r="E38" s="611"/>
      <c r="F38" s="611"/>
      <c r="G38" s="611"/>
      <c r="H38" s="611"/>
      <c r="I38" s="611"/>
      <c r="J38" s="611"/>
      <c r="K38" s="611"/>
    </row>
    <row r="39" spans="1:11" ht="14.25" customHeight="1" x14ac:dyDescent="0.2">
      <c r="A39" s="618">
        <v>15</v>
      </c>
      <c r="B39" s="606">
        <v>0</v>
      </c>
      <c r="C39" s="608"/>
      <c r="D39" s="608"/>
      <c r="E39" s="610"/>
      <c r="F39" s="610"/>
      <c r="G39" s="610"/>
      <c r="H39" s="610"/>
      <c r="I39" s="610"/>
      <c r="J39" s="610"/>
      <c r="K39" s="610"/>
    </row>
    <row r="40" spans="1:11" ht="15" customHeight="1" thickBot="1" x14ac:dyDescent="0.25">
      <c r="A40" s="619"/>
      <c r="B40" s="607"/>
      <c r="C40" s="609"/>
      <c r="D40" s="609"/>
      <c r="E40" s="611"/>
      <c r="F40" s="611"/>
      <c r="G40" s="611"/>
      <c r="H40" s="611"/>
      <c r="I40" s="611"/>
      <c r="J40" s="611"/>
      <c r="K40" s="611"/>
    </row>
    <row r="41" spans="1:11" ht="14.25" customHeight="1" x14ac:dyDescent="0.2">
      <c r="A41" s="618">
        <v>16</v>
      </c>
      <c r="B41" s="606">
        <v>0</v>
      </c>
      <c r="C41" s="608"/>
      <c r="D41" s="608"/>
      <c r="E41" s="610"/>
      <c r="F41" s="610"/>
      <c r="G41" s="610"/>
      <c r="H41" s="610"/>
      <c r="I41" s="610"/>
      <c r="J41" s="610"/>
      <c r="K41" s="610"/>
    </row>
    <row r="42" spans="1:11" ht="15" customHeight="1" thickBot="1" x14ac:dyDescent="0.25">
      <c r="A42" s="619"/>
      <c r="B42" s="607"/>
      <c r="C42" s="609"/>
      <c r="D42" s="609"/>
      <c r="E42" s="611"/>
      <c r="F42" s="611"/>
      <c r="G42" s="611"/>
      <c r="H42" s="611"/>
      <c r="I42" s="611"/>
      <c r="J42" s="611"/>
      <c r="K42" s="611"/>
    </row>
    <row r="43" spans="1:11" x14ac:dyDescent="0.2">
      <c r="A43" s="596" t="s">
        <v>137</v>
      </c>
      <c r="B43" s="597"/>
      <c r="C43" s="597"/>
      <c r="D43" s="597"/>
      <c r="E43" s="597"/>
      <c r="F43" s="597"/>
      <c r="G43" s="597"/>
      <c r="H43" s="597"/>
      <c r="I43" s="597"/>
      <c r="J43" s="597"/>
      <c r="K43" s="598"/>
    </row>
    <row r="44" spans="1:11" x14ac:dyDescent="0.2">
      <c r="A44" s="599"/>
      <c r="B44" s="383"/>
      <c r="C44" s="383"/>
      <c r="D44" s="383"/>
      <c r="E44" s="383"/>
      <c r="F44" s="383"/>
      <c r="G44" s="383"/>
      <c r="H44" s="383"/>
      <c r="I44" s="383"/>
      <c r="J44" s="383"/>
      <c r="K44" s="600"/>
    </row>
    <row r="45" spans="1:11" x14ac:dyDescent="0.2">
      <c r="A45" s="599"/>
      <c r="B45" s="383"/>
      <c r="C45" s="383"/>
      <c r="D45" s="383"/>
      <c r="E45" s="383"/>
      <c r="F45" s="383"/>
      <c r="G45" s="383"/>
      <c r="H45" s="383"/>
      <c r="I45" s="383"/>
      <c r="J45" s="383"/>
      <c r="K45" s="600"/>
    </row>
    <row r="46" spans="1:11" ht="15" thickBot="1" x14ac:dyDescent="0.25">
      <c r="A46" s="601"/>
      <c r="B46" s="602"/>
      <c r="C46" s="602"/>
      <c r="D46" s="602"/>
      <c r="E46" s="602"/>
      <c r="F46" s="602"/>
      <c r="G46" s="602"/>
      <c r="H46" s="602"/>
      <c r="I46" s="602"/>
      <c r="J46" s="602"/>
      <c r="K46" s="603"/>
    </row>
    <row r="48" spans="1:11" ht="15.75" x14ac:dyDescent="0.25">
      <c r="A48" s="163" t="s">
        <v>188</v>
      </c>
      <c r="G48" s="345" t="s">
        <v>189</v>
      </c>
      <c r="H48" s="345"/>
      <c r="I48" s="345"/>
    </row>
    <row r="49" spans="1:11" x14ac:dyDescent="0.2">
      <c r="G49" s="456"/>
      <c r="H49" s="456"/>
      <c r="I49" s="456"/>
    </row>
    <row r="50" spans="1:11" x14ac:dyDescent="0.2">
      <c r="A50" t="s">
        <v>108</v>
      </c>
      <c r="B50" t="s">
        <v>300</v>
      </c>
      <c r="G50" s="456"/>
      <c r="H50" s="456"/>
      <c r="I50" s="456"/>
    </row>
    <row r="51" spans="1:11" x14ac:dyDescent="0.2">
      <c r="G51" s="456"/>
      <c r="H51" s="456"/>
      <c r="I51" s="456"/>
    </row>
    <row r="52" spans="1:11" x14ac:dyDescent="0.2">
      <c r="A52" t="s">
        <v>194</v>
      </c>
      <c r="G52" s="456"/>
      <c r="H52" s="456"/>
      <c r="I52" s="456"/>
    </row>
    <row r="55" spans="1:11" x14ac:dyDescent="0.2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</row>
    <row r="56" spans="1:11" ht="15" thickBot="1" x14ac:dyDescent="0.25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</row>
    <row r="57" spans="1:11" ht="15" thickBot="1" x14ac:dyDescent="0.25">
      <c r="A57" s="307"/>
      <c r="B57" s="308"/>
      <c r="C57" s="127"/>
      <c r="D57" s="127"/>
      <c r="E57" s="127"/>
      <c r="F57" s="127"/>
      <c r="G57" s="127"/>
      <c r="H57" s="127"/>
      <c r="I57" s="127"/>
      <c r="J57" s="308"/>
      <c r="K57" s="309"/>
    </row>
    <row r="58" spans="1:11" ht="15.75" thickTop="1" thickBot="1" x14ac:dyDescent="0.25">
      <c r="A58" s="310"/>
      <c r="B58" s="311"/>
      <c r="C58" s="127"/>
      <c r="D58" s="127"/>
      <c r="E58" s="127"/>
      <c r="F58" s="127"/>
      <c r="G58" s="127"/>
      <c r="H58" s="127"/>
      <c r="I58" s="127"/>
      <c r="J58" s="311"/>
      <c r="K58" s="312"/>
    </row>
    <row r="59" spans="1:11" ht="15.75" thickTop="1" thickBot="1" x14ac:dyDescent="0.25">
      <c r="A59" s="310"/>
      <c r="B59" s="311"/>
      <c r="C59" s="127"/>
      <c r="D59" s="127"/>
      <c r="E59" s="127"/>
      <c r="F59" s="127"/>
      <c r="G59" s="127"/>
      <c r="H59" s="127"/>
      <c r="I59" s="127"/>
      <c r="J59" s="311"/>
      <c r="K59" s="312"/>
    </row>
    <row r="60" spans="1:11" ht="15.75" thickTop="1" thickBot="1" x14ac:dyDescent="0.25">
      <c r="A60" s="310"/>
      <c r="B60" s="313"/>
      <c r="C60" s="127"/>
      <c r="D60" s="127"/>
      <c r="E60" s="127"/>
      <c r="F60" s="127"/>
      <c r="G60" s="127"/>
      <c r="H60" s="127"/>
      <c r="I60" s="127"/>
      <c r="J60" s="311"/>
      <c r="K60" s="312"/>
    </row>
    <row r="61" spans="1:11" ht="17.25" thickTop="1" thickBot="1" x14ac:dyDescent="0.3">
      <c r="A61" s="314"/>
      <c r="B61" s="315"/>
      <c r="C61" s="127"/>
      <c r="D61" s="127"/>
      <c r="E61" s="581"/>
      <c r="F61" s="581"/>
      <c r="G61" s="581"/>
      <c r="H61" s="127"/>
      <c r="I61" s="127"/>
      <c r="J61" s="316"/>
      <c r="K61" s="317"/>
    </row>
    <row r="62" spans="1:11" ht="15" x14ac:dyDescent="0.25">
      <c r="A62" s="127"/>
      <c r="B62" s="127"/>
      <c r="C62" s="127"/>
      <c r="D62" s="127"/>
      <c r="E62" s="634"/>
      <c r="F62" s="635"/>
      <c r="G62" s="635"/>
      <c r="H62" s="127"/>
      <c r="I62" s="127"/>
      <c r="J62" s="127"/>
      <c r="K62" s="127"/>
    </row>
    <row r="63" spans="1:11" ht="15" thickBot="1" x14ac:dyDescent="0.25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</row>
    <row r="64" spans="1:11" x14ac:dyDescent="0.2">
      <c r="A64" s="636"/>
      <c r="B64" s="567"/>
      <c r="C64" s="567"/>
      <c r="D64" s="567"/>
      <c r="E64" s="569"/>
      <c r="F64" s="570"/>
      <c r="G64" s="570"/>
      <c r="H64" s="570"/>
      <c r="I64" s="570"/>
      <c r="J64" s="570"/>
      <c r="K64" s="567"/>
    </row>
    <row r="65" spans="1:11" ht="15" thickBot="1" x14ac:dyDescent="0.25">
      <c r="A65" s="637"/>
      <c r="B65" s="568"/>
      <c r="C65" s="568"/>
      <c r="D65" s="568"/>
      <c r="E65" s="571"/>
      <c r="F65" s="572"/>
      <c r="G65" s="572"/>
      <c r="H65" s="572"/>
      <c r="I65" s="572"/>
      <c r="J65" s="572"/>
      <c r="K65" s="568"/>
    </row>
    <row r="66" spans="1:11" x14ac:dyDescent="0.2">
      <c r="A66" s="622"/>
      <c r="B66" s="606"/>
      <c r="C66" s="608"/>
      <c r="D66" s="608"/>
      <c r="E66" s="608"/>
      <c r="F66" s="608"/>
      <c r="G66" s="608"/>
      <c r="H66" s="608"/>
      <c r="I66" s="608"/>
      <c r="J66" s="608"/>
      <c r="K66" s="608"/>
    </row>
    <row r="67" spans="1:11" ht="15" thickBot="1" x14ac:dyDescent="0.25">
      <c r="A67" s="623"/>
      <c r="B67" s="607"/>
      <c r="C67" s="609"/>
      <c r="D67" s="609"/>
      <c r="E67" s="609"/>
      <c r="F67" s="609"/>
      <c r="G67" s="609"/>
      <c r="H67" s="609"/>
      <c r="I67" s="609"/>
      <c r="J67" s="609"/>
      <c r="K67" s="609"/>
    </row>
    <row r="68" spans="1:11" ht="14.25" customHeight="1" x14ac:dyDescent="0.2">
      <c r="A68" s="622"/>
      <c r="B68" s="606"/>
      <c r="C68" s="606"/>
      <c r="D68" s="608"/>
      <c r="E68" s="610"/>
      <c r="F68" s="610"/>
      <c r="G68" s="610"/>
      <c r="H68" s="610"/>
      <c r="I68" s="610"/>
      <c r="J68" s="610"/>
      <c r="K68" s="610"/>
    </row>
    <row r="69" spans="1:11" ht="15" customHeight="1" thickBot="1" x14ac:dyDescent="0.25">
      <c r="A69" s="623"/>
      <c r="B69" s="607"/>
      <c r="C69" s="607"/>
      <c r="D69" s="609"/>
      <c r="E69" s="611"/>
      <c r="F69" s="611"/>
      <c r="G69" s="611"/>
      <c r="H69" s="611"/>
      <c r="I69" s="611"/>
      <c r="J69" s="611"/>
      <c r="K69" s="611"/>
    </row>
    <row r="70" spans="1:11" ht="14.25" customHeight="1" x14ac:dyDescent="0.2">
      <c r="A70" s="622"/>
      <c r="B70" s="606"/>
      <c r="C70" s="606"/>
      <c r="D70" s="608"/>
      <c r="E70" s="610"/>
      <c r="F70" s="610"/>
      <c r="G70" s="610"/>
      <c r="H70" s="610"/>
      <c r="I70" s="610"/>
      <c r="J70" s="610"/>
      <c r="K70" s="610"/>
    </row>
    <row r="71" spans="1:11" ht="15" customHeight="1" thickBot="1" x14ac:dyDescent="0.25">
      <c r="A71" s="623"/>
      <c r="B71" s="607"/>
      <c r="C71" s="607"/>
      <c r="D71" s="609"/>
      <c r="E71" s="611"/>
      <c r="F71" s="611"/>
      <c r="G71" s="611"/>
      <c r="H71" s="611"/>
      <c r="I71" s="611"/>
      <c r="J71" s="611"/>
      <c r="K71" s="611"/>
    </row>
    <row r="72" spans="1:11" ht="14.25" customHeight="1" x14ac:dyDescent="0.2">
      <c r="A72" s="622"/>
      <c r="B72" s="606"/>
      <c r="C72" s="606"/>
      <c r="D72" s="608"/>
      <c r="E72" s="610"/>
      <c r="F72" s="610"/>
      <c r="G72" s="610"/>
      <c r="H72" s="610"/>
      <c r="I72" s="610"/>
      <c r="J72" s="610"/>
      <c r="K72" s="610"/>
    </row>
    <row r="73" spans="1:11" ht="15" customHeight="1" thickBot="1" x14ac:dyDescent="0.25">
      <c r="A73" s="623"/>
      <c r="B73" s="607"/>
      <c r="C73" s="607"/>
      <c r="D73" s="609"/>
      <c r="E73" s="611"/>
      <c r="F73" s="611"/>
      <c r="G73" s="611"/>
      <c r="H73" s="611"/>
      <c r="I73" s="611"/>
      <c r="J73" s="611"/>
      <c r="K73" s="611"/>
    </row>
    <row r="74" spans="1:11" ht="14.25" customHeight="1" x14ac:dyDescent="0.2">
      <c r="A74" s="622"/>
      <c r="B74" s="606"/>
      <c r="C74" s="608"/>
      <c r="D74" s="608"/>
      <c r="E74" s="610"/>
      <c r="F74" s="610"/>
      <c r="G74" s="610"/>
      <c r="H74" s="610"/>
      <c r="I74" s="610"/>
      <c r="J74" s="610"/>
      <c r="K74" s="610"/>
    </row>
    <row r="75" spans="1:11" ht="15" customHeight="1" thickBot="1" x14ac:dyDescent="0.25">
      <c r="A75" s="623"/>
      <c r="B75" s="607"/>
      <c r="C75" s="609"/>
      <c r="D75" s="609"/>
      <c r="E75" s="611"/>
      <c r="F75" s="611"/>
      <c r="G75" s="611"/>
      <c r="H75" s="611"/>
      <c r="I75" s="611"/>
      <c r="J75" s="611"/>
      <c r="K75" s="611"/>
    </row>
    <row r="76" spans="1:11" ht="14.25" customHeight="1" x14ac:dyDescent="0.2">
      <c r="A76" s="622"/>
      <c r="B76" s="606"/>
      <c r="C76" s="606"/>
      <c r="D76" s="606"/>
      <c r="E76" s="610"/>
      <c r="F76" s="610"/>
      <c r="G76" s="610"/>
      <c r="H76" s="610"/>
      <c r="I76" s="610"/>
      <c r="J76" s="610"/>
      <c r="K76" s="610"/>
    </row>
    <row r="77" spans="1:11" ht="15" customHeight="1" thickBot="1" x14ac:dyDescent="0.25">
      <c r="A77" s="623"/>
      <c r="B77" s="607"/>
      <c r="C77" s="607"/>
      <c r="D77" s="607"/>
      <c r="E77" s="611"/>
      <c r="F77" s="611"/>
      <c r="G77" s="611"/>
      <c r="H77" s="611"/>
      <c r="I77" s="611"/>
      <c r="J77" s="611"/>
      <c r="K77" s="611"/>
    </row>
    <row r="78" spans="1:11" ht="14.25" customHeight="1" x14ac:dyDescent="0.2">
      <c r="A78" s="622"/>
      <c r="B78" s="606"/>
      <c r="C78" s="608"/>
      <c r="D78" s="608"/>
      <c r="E78" s="610"/>
      <c r="F78" s="610"/>
      <c r="G78" s="610"/>
      <c r="H78" s="610"/>
      <c r="I78" s="610"/>
      <c r="J78" s="610"/>
      <c r="K78" s="610"/>
    </row>
    <row r="79" spans="1:11" ht="15" customHeight="1" thickBot="1" x14ac:dyDescent="0.25">
      <c r="A79" s="623"/>
      <c r="B79" s="607"/>
      <c r="C79" s="609"/>
      <c r="D79" s="609"/>
      <c r="E79" s="611"/>
      <c r="F79" s="611"/>
      <c r="G79" s="611"/>
      <c r="H79" s="611"/>
      <c r="I79" s="611"/>
      <c r="J79" s="611"/>
      <c r="K79" s="611"/>
    </row>
    <row r="80" spans="1:11" ht="14.25" customHeight="1" x14ac:dyDescent="0.2">
      <c r="A80" s="622"/>
      <c r="B80" s="606"/>
      <c r="C80" s="575"/>
      <c r="D80" s="608"/>
      <c r="E80" s="614"/>
      <c r="F80" s="614"/>
      <c r="G80" s="614"/>
      <c r="H80" s="614"/>
      <c r="I80" s="614"/>
      <c r="J80" s="614"/>
      <c r="K80" s="614"/>
    </row>
    <row r="81" spans="1:11" ht="15" customHeight="1" thickBot="1" x14ac:dyDescent="0.25">
      <c r="A81" s="623"/>
      <c r="B81" s="607"/>
      <c r="C81" s="568"/>
      <c r="D81" s="609"/>
      <c r="E81" s="615"/>
      <c r="F81" s="615"/>
      <c r="G81" s="615"/>
      <c r="H81" s="615"/>
      <c r="I81" s="615"/>
      <c r="J81" s="615"/>
      <c r="K81" s="615"/>
    </row>
    <row r="82" spans="1:11" ht="14.25" customHeight="1" x14ac:dyDescent="0.2">
      <c r="A82" s="622"/>
      <c r="B82" s="606"/>
      <c r="C82" s="606"/>
      <c r="D82" s="608"/>
      <c r="E82" s="610"/>
      <c r="F82" s="610"/>
      <c r="G82" s="610"/>
      <c r="H82" s="610"/>
      <c r="I82" s="610"/>
      <c r="J82" s="610"/>
      <c r="K82" s="610"/>
    </row>
    <row r="83" spans="1:11" ht="15" customHeight="1" thickBot="1" x14ac:dyDescent="0.25">
      <c r="A83" s="623"/>
      <c r="B83" s="607"/>
      <c r="C83" s="607"/>
      <c r="D83" s="609"/>
      <c r="E83" s="611"/>
      <c r="F83" s="611"/>
      <c r="G83" s="611"/>
      <c r="H83" s="611"/>
      <c r="I83" s="611"/>
      <c r="J83" s="611"/>
      <c r="K83" s="611"/>
    </row>
    <row r="84" spans="1:11" ht="14.25" customHeight="1" x14ac:dyDescent="0.2">
      <c r="A84" s="622"/>
      <c r="B84" s="606"/>
      <c r="C84" s="606"/>
      <c r="D84" s="608"/>
      <c r="E84" s="610"/>
      <c r="F84" s="610"/>
      <c r="G84" s="610"/>
      <c r="H84" s="610"/>
      <c r="I84" s="610"/>
      <c r="J84" s="610"/>
      <c r="K84" s="610"/>
    </row>
    <row r="85" spans="1:11" ht="15" customHeight="1" thickBot="1" x14ac:dyDescent="0.25">
      <c r="A85" s="623"/>
      <c r="B85" s="607"/>
      <c r="C85" s="607"/>
      <c r="D85" s="609"/>
      <c r="E85" s="611"/>
      <c r="F85" s="611"/>
      <c r="G85" s="611"/>
      <c r="H85" s="611"/>
      <c r="I85" s="611"/>
      <c r="J85" s="611"/>
      <c r="K85" s="611"/>
    </row>
    <row r="86" spans="1:11" ht="14.25" customHeight="1" x14ac:dyDescent="0.2">
      <c r="A86" s="622"/>
      <c r="B86" s="606"/>
      <c r="C86" s="608"/>
      <c r="D86" s="608"/>
      <c r="E86" s="610"/>
      <c r="F86" s="610"/>
      <c r="G86" s="610"/>
      <c r="H86" s="610"/>
      <c r="I86" s="610"/>
      <c r="J86" s="610"/>
      <c r="K86" s="610"/>
    </row>
    <row r="87" spans="1:11" ht="15" customHeight="1" thickBot="1" x14ac:dyDescent="0.25">
      <c r="A87" s="623"/>
      <c r="B87" s="607"/>
      <c r="C87" s="609"/>
      <c r="D87" s="609"/>
      <c r="E87" s="611"/>
      <c r="F87" s="611"/>
      <c r="G87" s="611"/>
      <c r="H87" s="611"/>
      <c r="I87" s="611"/>
      <c r="J87" s="611"/>
      <c r="K87" s="611"/>
    </row>
    <row r="88" spans="1:11" ht="14.25" customHeight="1" x14ac:dyDescent="0.2">
      <c r="A88" s="622"/>
      <c r="B88" s="606"/>
      <c r="C88" s="608"/>
      <c r="D88" s="606"/>
      <c r="E88" s="610"/>
      <c r="F88" s="610"/>
      <c r="G88" s="610"/>
      <c r="H88" s="610"/>
      <c r="I88" s="610"/>
      <c r="J88" s="610"/>
      <c r="K88" s="610"/>
    </row>
    <row r="89" spans="1:11" ht="15" customHeight="1" thickBot="1" x14ac:dyDescent="0.25">
      <c r="A89" s="623"/>
      <c r="B89" s="607"/>
      <c r="C89" s="609"/>
      <c r="D89" s="607"/>
      <c r="E89" s="611"/>
      <c r="F89" s="611"/>
      <c r="G89" s="611"/>
      <c r="H89" s="611"/>
      <c r="I89" s="611"/>
      <c r="J89" s="611"/>
      <c r="K89" s="611"/>
    </row>
    <row r="90" spans="1:11" ht="14.25" customHeight="1" x14ac:dyDescent="0.2">
      <c r="A90" s="622"/>
      <c r="B90" s="606"/>
      <c r="C90" s="606"/>
      <c r="D90" s="608"/>
      <c r="E90" s="610"/>
      <c r="F90" s="610"/>
      <c r="G90" s="610"/>
      <c r="H90" s="610"/>
      <c r="I90" s="610"/>
      <c r="J90" s="610"/>
      <c r="K90" s="610"/>
    </row>
    <row r="91" spans="1:11" ht="15" customHeight="1" thickBot="1" x14ac:dyDescent="0.25">
      <c r="A91" s="623"/>
      <c r="B91" s="607"/>
      <c r="C91" s="607"/>
      <c r="D91" s="609"/>
      <c r="E91" s="611"/>
      <c r="F91" s="611"/>
      <c r="G91" s="611"/>
      <c r="H91" s="611"/>
      <c r="I91" s="611"/>
      <c r="J91" s="611"/>
      <c r="K91" s="611"/>
    </row>
    <row r="92" spans="1:11" ht="14.25" customHeight="1" x14ac:dyDescent="0.2">
      <c r="A92" s="622"/>
      <c r="B92" s="606"/>
      <c r="C92" s="606"/>
      <c r="D92" s="608"/>
      <c r="E92" s="610"/>
      <c r="F92" s="610"/>
      <c r="G92" s="610"/>
      <c r="H92" s="610"/>
      <c r="I92" s="610"/>
      <c r="J92" s="610"/>
      <c r="K92" s="610"/>
    </row>
    <row r="93" spans="1:11" ht="15" customHeight="1" thickBot="1" x14ac:dyDescent="0.25">
      <c r="A93" s="623"/>
      <c r="B93" s="607"/>
      <c r="C93" s="607"/>
      <c r="D93" s="609"/>
      <c r="E93" s="611"/>
      <c r="F93" s="611"/>
      <c r="G93" s="611"/>
      <c r="H93" s="611"/>
      <c r="I93" s="611"/>
      <c r="J93" s="611"/>
      <c r="K93" s="611"/>
    </row>
    <row r="94" spans="1:11" ht="14.25" customHeight="1" x14ac:dyDescent="0.2">
      <c r="A94" s="622"/>
      <c r="B94" s="606"/>
      <c r="C94" s="608"/>
      <c r="D94" s="608"/>
      <c r="E94" s="610"/>
      <c r="F94" s="610"/>
      <c r="G94" s="610"/>
      <c r="H94" s="610"/>
      <c r="I94" s="610"/>
      <c r="J94" s="610"/>
      <c r="K94" s="610"/>
    </row>
    <row r="95" spans="1:11" ht="15" customHeight="1" thickBot="1" x14ac:dyDescent="0.25">
      <c r="A95" s="623"/>
      <c r="B95" s="607"/>
      <c r="C95" s="609"/>
      <c r="D95" s="609"/>
      <c r="E95" s="611"/>
      <c r="F95" s="611"/>
      <c r="G95" s="611"/>
      <c r="H95" s="611"/>
      <c r="I95" s="611"/>
      <c r="J95" s="611"/>
      <c r="K95" s="611"/>
    </row>
    <row r="96" spans="1:11" ht="14.25" customHeight="1" x14ac:dyDescent="0.2">
      <c r="A96" s="622"/>
      <c r="B96" s="606"/>
      <c r="C96" s="608"/>
      <c r="D96" s="608"/>
      <c r="E96" s="610"/>
      <c r="F96" s="610"/>
      <c r="G96" s="610"/>
      <c r="H96" s="610"/>
      <c r="I96" s="610"/>
      <c r="J96" s="610"/>
      <c r="K96" s="610"/>
    </row>
    <row r="97" spans="1:11" ht="15" customHeight="1" thickBot="1" x14ac:dyDescent="0.25">
      <c r="A97" s="623"/>
      <c r="B97" s="607"/>
      <c r="C97" s="609"/>
      <c r="D97" s="609"/>
      <c r="E97" s="611"/>
      <c r="F97" s="611"/>
      <c r="G97" s="611"/>
      <c r="H97" s="611"/>
      <c r="I97" s="611"/>
      <c r="J97" s="611"/>
      <c r="K97" s="611"/>
    </row>
    <row r="98" spans="1:11" ht="15" customHeight="1" x14ac:dyDescent="0.2">
      <c r="A98" s="624"/>
      <c r="B98" s="625"/>
      <c r="C98" s="625"/>
      <c r="D98" s="625"/>
      <c r="E98" s="625"/>
      <c r="F98" s="625"/>
      <c r="G98" s="625"/>
      <c r="H98" s="625"/>
      <c r="I98" s="625"/>
      <c r="J98" s="625"/>
      <c r="K98" s="626"/>
    </row>
    <row r="99" spans="1:11" ht="14.25" customHeight="1" x14ac:dyDescent="0.2">
      <c r="A99" s="627"/>
      <c r="B99" s="628"/>
      <c r="C99" s="628"/>
      <c r="D99" s="628"/>
      <c r="E99" s="628"/>
      <c r="F99" s="628"/>
      <c r="G99" s="628"/>
      <c r="H99" s="628"/>
      <c r="I99" s="628"/>
      <c r="J99" s="628"/>
      <c r="K99" s="629"/>
    </row>
    <row r="100" spans="1:11" ht="15" customHeight="1" x14ac:dyDescent="0.2">
      <c r="A100" s="627"/>
      <c r="B100" s="628"/>
      <c r="C100" s="628"/>
      <c r="D100" s="628"/>
      <c r="E100" s="628"/>
      <c r="F100" s="628"/>
      <c r="G100" s="628"/>
      <c r="H100" s="628"/>
      <c r="I100" s="628"/>
      <c r="J100" s="628"/>
      <c r="K100" s="629"/>
    </row>
    <row r="101" spans="1:11" ht="15" customHeight="1" thickBot="1" x14ac:dyDescent="0.25">
      <c r="A101" s="630"/>
      <c r="B101" s="631"/>
      <c r="C101" s="631"/>
      <c r="D101" s="631"/>
      <c r="E101" s="631"/>
      <c r="F101" s="631"/>
      <c r="G101" s="631"/>
      <c r="H101" s="631"/>
      <c r="I101" s="631"/>
      <c r="J101" s="631"/>
      <c r="K101" s="632"/>
    </row>
    <row r="102" spans="1:11" ht="15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</row>
    <row r="103" spans="1:11" ht="15.75" customHeight="1" x14ac:dyDescent="0.25">
      <c r="A103" s="318"/>
      <c r="B103" s="127"/>
      <c r="C103" s="127"/>
      <c r="D103" s="127"/>
      <c r="E103" s="127"/>
      <c r="F103" s="127"/>
      <c r="G103" s="633"/>
      <c r="H103" s="633"/>
      <c r="I103" s="633"/>
      <c r="J103" s="127"/>
      <c r="K103" s="127"/>
    </row>
    <row r="104" spans="1:11" ht="15" customHeight="1" x14ac:dyDescent="0.2">
      <c r="G104" s="456"/>
      <c r="H104" s="456"/>
      <c r="I104" s="456"/>
    </row>
    <row r="105" spans="1:11" ht="14.25" customHeight="1" x14ac:dyDescent="0.2">
      <c r="G105" s="456"/>
      <c r="H105" s="456"/>
      <c r="I105" s="456"/>
    </row>
    <row r="106" spans="1:11" ht="15" customHeight="1" x14ac:dyDescent="0.2">
      <c r="G106" s="456"/>
      <c r="H106" s="456"/>
      <c r="I106" s="456"/>
    </row>
    <row r="107" spans="1:11" ht="14.25" customHeight="1" x14ac:dyDescent="0.2">
      <c r="G107" s="456"/>
      <c r="H107" s="456"/>
      <c r="I107" s="456"/>
    </row>
    <row r="108" spans="1:11" ht="15" customHeight="1" x14ac:dyDescent="0.2"/>
    <row r="109" spans="1:11" ht="14.25" customHeight="1" x14ac:dyDescent="0.2"/>
    <row r="110" spans="1:11" ht="15" customHeight="1" x14ac:dyDescent="0.2"/>
    <row r="111" spans="1:11" ht="14.25" customHeight="1" x14ac:dyDescent="0.2"/>
    <row r="112" spans="1:11" ht="15" customHeight="1" x14ac:dyDescent="0.2"/>
    <row r="113" spans="1:11" ht="14.25" customHeight="1" x14ac:dyDescent="0.2"/>
    <row r="114" spans="1:11" ht="15" customHeight="1" x14ac:dyDescent="0.2"/>
    <row r="115" spans="1:11" ht="14.25" customHeight="1" x14ac:dyDescent="0.2"/>
    <row r="116" spans="1:11" ht="15" customHeight="1" x14ac:dyDescent="0.2"/>
    <row r="120" spans="1:11" ht="15" thickBot="1" x14ac:dyDescent="0.25"/>
    <row r="121" spans="1:11" ht="15" thickBot="1" x14ac:dyDescent="0.25">
      <c r="A121" s="164" t="s">
        <v>38</v>
      </c>
      <c r="B121" s="153" t="s">
        <v>39</v>
      </c>
      <c r="J121" s="153"/>
      <c r="K121" s="154" t="s">
        <v>164</v>
      </c>
    </row>
    <row r="122" spans="1:11" ht="15.75" thickTop="1" thickBot="1" x14ac:dyDescent="0.25">
      <c r="A122" s="165" t="s">
        <v>54</v>
      </c>
      <c r="B122" s="156">
        <v>1</v>
      </c>
      <c r="J122" s="156"/>
      <c r="K122" s="157" t="s">
        <v>165</v>
      </c>
    </row>
    <row r="123" spans="1:11" ht="25.5" thickTop="1" thickBot="1" x14ac:dyDescent="0.25">
      <c r="A123" s="165" t="s">
        <v>40</v>
      </c>
      <c r="B123" s="156" t="s">
        <v>253</v>
      </c>
      <c r="J123" s="156"/>
      <c r="K123" s="157" t="s">
        <v>166</v>
      </c>
    </row>
    <row r="124" spans="1:11" ht="15.75" thickTop="1" thickBot="1" x14ac:dyDescent="0.25">
      <c r="A124" s="165" t="s">
        <v>42</v>
      </c>
      <c r="B124" s="177">
        <v>45052</v>
      </c>
      <c r="J124" s="156"/>
      <c r="K124" s="157" t="s">
        <v>167</v>
      </c>
    </row>
    <row r="125" spans="1:11" ht="17.25" thickTop="1" thickBot="1" x14ac:dyDescent="0.3">
      <c r="A125" s="166" t="s">
        <v>43</v>
      </c>
      <c r="B125" s="253">
        <v>0.54166666666666663</v>
      </c>
      <c r="E125" s="581" t="s">
        <v>307</v>
      </c>
      <c r="F125" s="581"/>
      <c r="G125" s="581"/>
      <c r="J125" s="159"/>
      <c r="K125" s="160" t="s">
        <v>169</v>
      </c>
    </row>
    <row r="126" spans="1:11" ht="15" x14ac:dyDescent="0.25">
      <c r="E126" s="617" t="s">
        <v>192</v>
      </c>
      <c r="F126" s="456"/>
      <c r="G126" s="456"/>
    </row>
    <row r="127" spans="1:11" ht="15" thickBot="1" x14ac:dyDescent="0.25"/>
    <row r="128" spans="1:11" x14ac:dyDescent="0.2">
      <c r="A128" s="565" t="s">
        <v>193</v>
      </c>
      <c r="B128" s="583" t="s">
        <v>172</v>
      </c>
      <c r="C128" s="583" t="s">
        <v>173</v>
      </c>
      <c r="D128" s="583" t="s">
        <v>174</v>
      </c>
      <c r="E128" s="585" t="s">
        <v>175</v>
      </c>
      <c r="F128" s="586"/>
      <c r="G128" s="586"/>
      <c r="H128" s="586"/>
      <c r="I128" s="586"/>
      <c r="J128" s="586"/>
      <c r="K128" s="583"/>
    </row>
    <row r="129" spans="1:11" ht="15" thickBot="1" x14ac:dyDescent="0.25">
      <c r="A129" s="566"/>
      <c r="B129" s="584"/>
      <c r="C129" s="584"/>
      <c r="D129" s="584"/>
      <c r="E129" s="587"/>
      <c r="F129" s="588"/>
      <c r="G129" s="588"/>
      <c r="H129" s="588"/>
      <c r="I129" s="588"/>
      <c r="J129" s="588"/>
      <c r="K129" s="584"/>
    </row>
    <row r="130" spans="1:11" x14ac:dyDescent="0.2">
      <c r="A130" s="612">
        <v>1</v>
      </c>
      <c r="B130" s="563">
        <v>0</v>
      </c>
      <c r="C130" s="576"/>
      <c r="D130" s="576"/>
      <c r="E130" s="576"/>
      <c r="F130" s="576"/>
      <c r="G130" s="576"/>
      <c r="H130" s="576"/>
      <c r="I130" s="576"/>
      <c r="J130" s="576"/>
      <c r="K130" s="576"/>
    </row>
    <row r="131" spans="1:11" ht="15" thickBot="1" x14ac:dyDescent="0.25">
      <c r="A131" s="613"/>
      <c r="B131" s="564"/>
      <c r="C131" s="616"/>
      <c r="D131" s="616"/>
      <c r="E131" s="616"/>
      <c r="F131" s="616"/>
      <c r="G131" s="616"/>
      <c r="H131" s="616"/>
      <c r="I131" s="616"/>
      <c r="J131" s="616"/>
      <c r="K131" s="616"/>
    </row>
    <row r="132" spans="1:11" x14ac:dyDescent="0.2">
      <c r="A132" s="612">
        <v>2</v>
      </c>
      <c r="B132" s="563">
        <v>0</v>
      </c>
      <c r="C132" s="575"/>
      <c r="D132" s="576"/>
      <c r="E132" s="620"/>
      <c r="F132" s="576"/>
      <c r="G132" s="576"/>
      <c r="H132" s="576"/>
      <c r="I132" s="576"/>
      <c r="J132" s="576"/>
      <c r="K132" s="576"/>
    </row>
    <row r="133" spans="1:11" ht="15" thickBot="1" x14ac:dyDescent="0.25">
      <c r="A133" s="613"/>
      <c r="B133" s="564"/>
      <c r="C133" s="568"/>
      <c r="D133" s="616"/>
      <c r="E133" s="616"/>
      <c r="F133" s="616"/>
      <c r="G133" s="616"/>
      <c r="H133" s="616"/>
      <c r="I133" s="616"/>
      <c r="J133" s="616"/>
      <c r="K133" s="616"/>
    </row>
    <row r="134" spans="1:11" ht="14.25" customHeight="1" x14ac:dyDescent="0.2">
      <c r="A134" s="612">
        <v>3</v>
      </c>
      <c r="B134" s="563">
        <v>0</v>
      </c>
      <c r="C134" s="576"/>
      <c r="D134" s="606"/>
      <c r="E134" s="576"/>
      <c r="F134" s="576"/>
      <c r="G134" s="576"/>
      <c r="H134" s="576"/>
      <c r="I134" s="576"/>
      <c r="J134" s="576"/>
      <c r="K134" s="576"/>
    </row>
    <row r="135" spans="1:11" ht="15" customHeight="1" thickBot="1" x14ac:dyDescent="0.25">
      <c r="A135" s="613"/>
      <c r="B135" s="564"/>
      <c r="C135" s="616"/>
      <c r="D135" s="607"/>
      <c r="E135" s="616"/>
      <c r="F135" s="616"/>
      <c r="G135" s="616"/>
      <c r="H135" s="616"/>
      <c r="I135" s="616"/>
      <c r="J135" s="616"/>
      <c r="K135" s="616"/>
    </row>
    <row r="136" spans="1:11" ht="14.25" customHeight="1" x14ac:dyDescent="0.2">
      <c r="A136" s="612">
        <v>4</v>
      </c>
      <c r="B136" s="563"/>
      <c r="C136" s="576"/>
      <c r="D136" s="576"/>
      <c r="E136" s="576"/>
      <c r="F136" s="576"/>
      <c r="G136" s="576"/>
      <c r="H136" s="576"/>
      <c r="I136" s="576"/>
      <c r="J136" s="576"/>
      <c r="K136" s="576"/>
    </row>
    <row r="137" spans="1:11" ht="15" customHeight="1" thickBot="1" x14ac:dyDescent="0.25">
      <c r="A137" s="613"/>
      <c r="B137" s="564"/>
      <c r="C137" s="616"/>
      <c r="D137" s="616"/>
      <c r="E137" s="616"/>
      <c r="F137" s="616"/>
      <c r="G137" s="616"/>
      <c r="H137" s="616"/>
      <c r="I137" s="616"/>
      <c r="J137" s="616"/>
      <c r="K137" s="616"/>
    </row>
    <row r="138" spans="1:11" ht="14.25" customHeight="1" x14ac:dyDescent="0.2">
      <c r="A138" s="612">
        <v>5</v>
      </c>
      <c r="B138" s="563"/>
      <c r="C138" s="563">
        <v>0</v>
      </c>
      <c r="D138" s="606"/>
      <c r="E138" s="576" t="s">
        <v>398</v>
      </c>
      <c r="F138" s="576"/>
      <c r="G138" s="576"/>
      <c r="H138" s="576"/>
      <c r="I138" s="576"/>
      <c r="J138" s="576"/>
      <c r="K138" s="576"/>
    </row>
    <row r="139" spans="1:11" ht="15" customHeight="1" thickBot="1" x14ac:dyDescent="0.25">
      <c r="A139" s="613"/>
      <c r="B139" s="564"/>
      <c r="C139" s="564"/>
      <c r="D139" s="607"/>
      <c r="E139" s="616"/>
      <c r="F139" s="616"/>
      <c r="G139" s="616"/>
      <c r="H139" s="616"/>
      <c r="I139" s="616"/>
      <c r="J139" s="616"/>
      <c r="K139" s="616"/>
    </row>
    <row r="140" spans="1:11" ht="14.25" customHeight="1" x14ac:dyDescent="0.2">
      <c r="A140" s="612">
        <v>6</v>
      </c>
      <c r="B140" s="563">
        <v>0</v>
      </c>
      <c r="C140" s="576"/>
      <c r="D140" s="606"/>
      <c r="E140" s="620"/>
      <c r="F140" s="576"/>
      <c r="G140" s="576"/>
      <c r="H140" s="576"/>
      <c r="I140" s="576"/>
      <c r="J140" s="576"/>
      <c r="K140" s="576"/>
    </row>
    <row r="141" spans="1:11" ht="15" customHeight="1" thickBot="1" x14ac:dyDescent="0.25">
      <c r="A141" s="613"/>
      <c r="B141" s="564"/>
      <c r="C141" s="616"/>
      <c r="D141" s="607"/>
      <c r="E141" s="616"/>
      <c r="F141" s="616"/>
      <c r="G141" s="616"/>
      <c r="H141" s="616"/>
      <c r="I141" s="616"/>
      <c r="J141" s="616"/>
      <c r="K141" s="616"/>
    </row>
    <row r="142" spans="1:11" ht="14.25" customHeight="1" x14ac:dyDescent="0.2">
      <c r="A142" s="612">
        <v>7</v>
      </c>
      <c r="B142" s="563">
        <v>0</v>
      </c>
      <c r="C142" s="576"/>
      <c r="D142" s="606"/>
      <c r="E142" s="576"/>
      <c r="F142" s="576"/>
      <c r="G142" s="576"/>
      <c r="H142" s="576"/>
      <c r="I142" s="576"/>
      <c r="J142" s="576"/>
      <c r="K142" s="576"/>
    </row>
    <row r="143" spans="1:11" ht="15" customHeight="1" thickBot="1" x14ac:dyDescent="0.25">
      <c r="A143" s="613"/>
      <c r="B143" s="564"/>
      <c r="C143" s="616"/>
      <c r="D143" s="607"/>
      <c r="E143" s="616"/>
      <c r="F143" s="616"/>
      <c r="G143" s="616"/>
      <c r="H143" s="616"/>
      <c r="I143" s="616"/>
      <c r="J143" s="616"/>
      <c r="K143" s="616"/>
    </row>
    <row r="144" spans="1:11" ht="14.25" customHeight="1" x14ac:dyDescent="0.2">
      <c r="A144" s="612">
        <v>8</v>
      </c>
      <c r="B144" s="563">
        <v>0</v>
      </c>
      <c r="C144" s="575"/>
      <c r="D144" s="576"/>
      <c r="E144" s="610"/>
      <c r="F144" s="610"/>
      <c r="G144" s="610"/>
      <c r="H144" s="610"/>
      <c r="I144" s="610"/>
      <c r="J144" s="610"/>
      <c r="K144" s="610"/>
    </row>
    <row r="145" spans="1:11" ht="15" customHeight="1" thickBot="1" x14ac:dyDescent="0.25">
      <c r="A145" s="613"/>
      <c r="B145" s="564"/>
      <c r="C145" s="568"/>
      <c r="D145" s="616"/>
      <c r="E145" s="611"/>
      <c r="F145" s="611"/>
      <c r="G145" s="611"/>
      <c r="H145" s="611"/>
      <c r="I145" s="611"/>
      <c r="J145" s="611"/>
      <c r="K145" s="611"/>
    </row>
    <row r="146" spans="1:11" ht="14.25" customHeight="1" x14ac:dyDescent="0.2">
      <c r="A146" s="612">
        <v>9</v>
      </c>
      <c r="B146" s="563">
        <v>0</v>
      </c>
      <c r="C146" s="576"/>
      <c r="D146" s="576"/>
      <c r="E146" s="576"/>
      <c r="F146" s="576"/>
      <c r="G146" s="576"/>
      <c r="H146" s="576"/>
      <c r="I146" s="576"/>
      <c r="J146" s="576"/>
      <c r="K146" s="576"/>
    </row>
    <row r="147" spans="1:11" ht="15" customHeight="1" thickBot="1" x14ac:dyDescent="0.25">
      <c r="A147" s="613"/>
      <c r="B147" s="564"/>
      <c r="C147" s="616"/>
      <c r="D147" s="616"/>
      <c r="E147" s="616"/>
      <c r="F147" s="616"/>
      <c r="G147" s="616"/>
      <c r="H147" s="616"/>
      <c r="I147" s="616"/>
      <c r="J147" s="616"/>
      <c r="K147" s="616"/>
    </row>
    <row r="148" spans="1:11" ht="14.25" customHeight="1" x14ac:dyDescent="0.2">
      <c r="A148" s="612">
        <v>10</v>
      </c>
      <c r="B148" s="563">
        <v>0</v>
      </c>
      <c r="C148" s="576"/>
      <c r="D148" s="606"/>
      <c r="E148" s="576"/>
      <c r="F148" s="576"/>
      <c r="G148" s="576"/>
      <c r="H148" s="576"/>
      <c r="I148" s="576"/>
      <c r="J148" s="576"/>
      <c r="K148" s="576"/>
    </row>
    <row r="149" spans="1:11" ht="15" customHeight="1" thickBot="1" x14ac:dyDescent="0.25">
      <c r="A149" s="613"/>
      <c r="B149" s="564"/>
      <c r="C149" s="616"/>
      <c r="D149" s="607"/>
      <c r="E149" s="616"/>
      <c r="F149" s="616"/>
      <c r="G149" s="616"/>
      <c r="H149" s="616"/>
      <c r="I149" s="616"/>
      <c r="J149" s="616"/>
      <c r="K149" s="616"/>
    </row>
    <row r="150" spans="1:11" ht="14.25" customHeight="1" x14ac:dyDescent="0.2">
      <c r="A150" s="612">
        <v>11</v>
      </c>
      <c r="B150" s="563">
        <v>0</v>
      </c>
      <c r="C150" s="576"/>
      <c r="D150" s="576"/>
      <c r="E150" s="576"/>
      <c r="F150" s="576"/>
      <c r="G150" s="576"/>
      <c r="H150" s="576"/>
      <c r="I150" s="576"/>
      <c r="J150" s="576"/>
      <c r="K150" s="576"/>
    </row>
    <row r="151" spans="1:11" ht="15" customHeight="1" thickBot="1" x14ac:dyDescent="0.25">
      <c r="A151" s="613"/>
      <c r="B151" s="564"/>
      <c r="C151" s="616"/>
      <c r="D151" s="616"/>
      <c r="E151" s="616"/>
      <c r="F151" s="616"/>
      <c r="G151" s="616"/>
      <c r="H151" s="616"/>
      <c r="I151" s="616"/>
      <c r="J151" s="616"/>
      <c r="K151" s="616"/>
    </row>
    <row r="152" spans="1:11" x14ac:dyDescent="0.2">
      <c r="A152" s="612">
        <v>12</v>
      </c>
      <c r="B152" s="563">
        <v>0</v>
      </c>
      <c r="C152" s="576"/>
      <c r="D152" s="575"/>
      <c r="E152" s="620"/>
      <c r="F152" s="576"/>
      <c r="G152" s="576"/>
      <c r="H152" s="576"/>
      <c r="I152" s="576"/>
      <c r="J152" s="576"/>
      <c r="K152" s="576"/>
    </row>
    <row r="153" spans="1:11" ht="15" thickBot="1" x14ac:dyDescent="0.25">
      <c r="A153" s="613"/>
      <c r="B153" s="564"/>
      <c r="C153" s="616"/>
      <c r="D153" s="568"/>
      <c r="E153" s="616"/>
      <c r="F153" s="616"/>
      <c r="G153" s="616"/>
      <c r="H153" s="616"/>
      <c r="I153" s="616"/>
      <c r="J153" s="616"/>
      <c r="K153" s="616"/>
    </row>
    <row r="154" spans="1:11" ht="14.25" customHeight="1" x14ac:dyDescent="0.2">
      <c r="A154" s="638">
        <v>13</v>
      </c>
      <c r="B154" s="563">
        <v>0</v>
      </c>
      <c r="C154" s="576"/>
      <c r="D154" s="576"/>
      <c r="E154" s="576"/>
      <c r="F154" s="576"/>
      <c r="G154" s="576"/>
      <c r="H154" s="576"/>
      <c r="I154" s="576"/>
      <c r="J154" s="576"/>
      <c r="K154" s="576"/>
    </row>
    <row r="155" spans="1:11" ht="15" customHeight="1" thickBot="1" x14ac:dyDescent="0.25">
      <c r="A155" s="639"/>
      <c r="B155" s="564"/>
      <c r="C155" s="616"/>
      <c r="D155" s="616"/>
      <c r="E155" s="616"/>
      <c r="F155" s="616"/>
      <c r="G155" s="616"/>
      <c r="H155" s="616"/>
      <c r="I155" s="616"/>
      <c r="J155" s="616"/>
      <c r="K155" s="616"/>
    </row>
    <row r="156" spans="1:11" ht="14.25" customHeight="1" x14ac:dyDescent="0.2">
      <c r="A156" s="638">
        <v>14</v>
      </c>
      <c r="B156" s="563">
        <v>0</v>
      </c>
      <c r="C156" s="576"/>
      <c r="D156" s="576"/>
      <c r="E156" s="576"/>
      <c r="F156" s="576"/>
      <c r="G156" s="576"/>
      <c r="H156" s="576"/>
      <c r="I156" s="576"/>
      <c r="J156" s="576"/>
      <c r="K156" s="576"/>
    </row>
    <row r="157" spans="1:11" ht="15" customHeight="1" thickBot="1" x14ac:dyDescent="0.25">
      <c r="A157" s="639"/>
      <c r="B157" s="564"/>
      <c r="C157" s="616"/>
      <c r="D157" s="616"/>
      <c r="E157" s="616"/>
      <c r="F157" s="616"/>
      <c r="G157" s="616"/>
      <c r="H157" s="616"/>
      <c r="I157" s="616"/>
      <c r="J157" s="616"/>
      <c r="K157" s="616"/>
    </row>
    <row r="158" spans="1:11" ht="14.25" customHeight="1" x14ac:dyDescent="0.2">
      <c r="A158" s="638">
        <v>15</v>
      </c>
      <c r="B158" s="236">
        <v>0</v>
      </c>
      <c r="C158" s="640"/>
      <c r="D158" s="576"/>
      <c r="E158" s="576"/>
      <c r="F158" s="576"/>
      <c r="G158" s="576"/>
      <c r="H158" s="576"/>
      <c r="I158" s="576"/>
      <c r="J158" s="576"/>
      <c r="K158" s="576"/>
    </row>
    <row r="159" spans="1:11" ht="15" customHeight="1" thickBot="1" x14ac:dyDescent="0.25">
      <c r="A159" s="639"/>
      <c r="B159" s="237"/>
      <c r="C159" s="641"/>
      <c r="D159" s="616"/>
      <c r="E159" s="616"/>
      <c r="F159" s="616"/>
      <c r="G159" s="616"/>
      <c r="H159" s="616"/>
      <c r="I159" s="616"/>
      <c r="J159" s="616"/>
      <c r="K159" s="616"/>
    </row>
    <row r="160" spans="1:11" ht="14.25" customHeight="1" x14ac:dyDescent="0.2">
      <c r="A160" s="638">
        <v>16</v>
      </c>
      <c r="B160" s="563"/>
      <c r="C160" s="563">
        <v>0</v>
      </c>
      <c r="D160" s="576"/>
      <c r="E160" s="576" t="s">
        <v>399</v>
      </c>
      <c r="F160" s="576"/>
      <c r="G160" s="576"/>
      <c r="H160" s="576"/>
      <c r="I160" s="576"/>
      <c r="J160" s="576"/>
      <c r="K160" s="576"/>
    </row>
    <row r="161" spans="1:11" ht="15" customHeight="1" thickBot="1" x14ac:dyDescent="0.25">
      <c r="A161" s="639"/>
      <c r="B161" s="564"/>
      <c r="C161" s="564"/>
      <c r="D161" s="616"/>
      <c r="E161" s="616"/>
      <c r="F161" s="616"/>
      <c r="G161" s="616"/>
      <c r="H161" s="616"/>
      <c r="I161" s="616"/>
      <c r="J161" s="616"/>
      <c r="K161" s="616"/>
    </row>
    <row r="162" spans="1:11" x14ac:dyDescent="0.2">
      <c r="A162" s="596" t="s">
        <v>137</v>
      </c>
      <c r="B162" s="597"/>
      <c r="C162" s="597"/>
      <c r="D162" s="597"/>
      <c r="E162" s="597"/>
      <c r="F162" s="597"/>
      <c r="G162" s="597"/>
      <c r="H162" s="597"/>
      <c r="I162" s="597"/>
      <c r="J162" s="597"/>
      <c r="K162" s="598"/>
    </row>
    <row r="163" spans="1:11" x14ac:dyDescent="0.2">
      <c r="A163" s="599"/>
      <c r="B163" s="383"/>
      <c r="C163" s="383"/>
      <c r="D163" s="383"/>
      <c r="E163" s="383"/>
      <c r="F163" s="383"/>
      <c r="G163" s="383"/>
      <c r="H163" s="383"/>
      <c r="I163" s="383"/>
      <c r="J163" s="383"/>
      <c r="K163" s="600"/>
    </row>
    <row r="164" spans="1:11" x14ac:dyDescent="0.2">
      <c r="A164" s="599"/>
      <c r="B164" s="383"/>
      <c r="C164" s="383"/>
      <c r="D164" s="383"/>
      <c r="E164" s="383"/>
      <c r="F164" s="383"/>
      <c r="G164" s="383"/>
      <c r="H164" s="383"/>
      <c r="I164" s="383"/>
      <c r="J164" s="383"/>
      <c r="K164" s="600"/>
    </row>
    <row r="165" spans="1:11" ht="15" thickBot="1" x14ac:dyDescent="0.25">
      <c r="A165" s="601"/>
      <c r="B165" s="602"/>
      <c r="C165" s="602"/>
      <c r="D165" s="602"/>
      <c r="E165" s="602"/>
      <c r="F165" s="602"/>
      <c r="G165" s="602"/>
      <c r="H165" s="602"/>
      <c r="I165" s="602"/>
      <c r="J165" s="602"/>
      <c r="K165" s="603"/>
    </row>
    <row r="167" spans="1:11" ht="15.75" x14ac:dyDescent="0.25">
      <c r="A167" s="163" t="s">
        <v>188</v>
      </c>
      <c r="G167" s="345" t="s">
        <v>189</v>
      </c>
      <c r="H167" s="345"/>
      <c r="I167" s="345"/>
    </row>
    <row r="168" spans="1:11" x14ac:dyDescent="0.2">
      <c r="G168" s="456"/>
      <c r="H168" s="456"/>
      <c r="I168" s="456"/>
    </row>
    <row r="169" spans="1:11" x14ac:dyDescent="0.2">
      <c r="A169" t="s">
        <v>108</v>
      </c>
      <c r="G169" s="456"/>
      <c r="H169" s="456"/>
      <c r="I169" s="456"/>
    </row>
    <row r="170" spans="1:11" x14ac:dyDescent="0.2">
      <c r="G170" s="456"/>
      <c r="H170" s="456"/>
      <c r="I170" s="456"/>
    </row>
    <row r="171" spans="1:11" x14ac:dyDescent="0.2">
      <c r="A171" t="s">
        <v>194</v>
      </c>
      <c r="G171" s="456"/>
      <c r="H171" s="456"/>
      <c r="I171" s="456"/>
    </row>
    <row r="172" spans="1:11" x14ac:dyDescent="0.2">
      <c r="E172">
        <f ca="1">A172:M234</f>
        <v>0</v>
      </c>
    </row>
    <row r="184" spans="1:11" ht="15" thickBot="1" x14ac:dyDescent="0.25"/>
    <row r="185" spans="1:11" ht="15" thickBot="1" x14ac:dyDescent="0.25">
      <c r="A185" s="164" t="s">
        <v>38</v>
      </c>
      <c r="B185" s="153" t="s">
        <v>39</v>
      </c>
      <c r="J185" s="153"/>
      <c r="K185" s="154" t="s">
        <v>164</v>
      </c>
    </row>
    <row r="186" spans="1:11" ht="15.75" thickTop="1" thickBot="1" x14ac:dyDescent="0.25">
      <c r="A186" s="165" t="s">
        <v>54</v>
      </c>
      <c r="B186" s="156">
        <v>1</v>
      </c>
      <c r="J186" s="156"/>
      <c r="K186" s="157" t="s">
        <v>165</v>
      </c>
    </row>
    <row r="187" spans="1:11" ht="25.5" thickTop="1" thickBot="1" x14ac:dyDescent="0.25">
      <c r="A187" s="165" t="s">
        <v>40</v>
      </c>
      <c r="B187" s="156" t="s">
        <v>253</v>
      </c>
      <c r="J187" s="156"/>
      <c r="K187" s="157" t="s">
        <v>166</v>
      </c>
    </row>
    <row r="188" spans="1:11" ht="15.75" thickTop="1" thickBot="1" x14ac:dyDescent="0.25">
      <c r="A188" s="165" t="s">
        <v>42</v>
      </c>
      <c r="B188" s="177">
        <v>45060</v>
      </c>
      <c r="J188" s="156"/>
      <c r="K188" s="157" t="s">
        <v>167</v>
      </c>
    </row>
    <row r="189" spans="1:11" ht="17.25" thickTop="1" thickBot="1" x14ac:dyDescent="0.3">
      <c r="A189" s="166" t="s">
        <v>43</v>
      </c>
      <c r="B189" s="253"/>
      <c r="E189" s="581" t="s">
        <v>308</v>
      </c>
      <c r="F189" s="581"/>
      <c r="G189" s="581"/>
      <c r="J189" s="159"/>
      <c r="K189" s="160" t="s">
        <v>169</v>
      </c>
    </row>
    <row r="190" spans="1:11" ht="15" x14ac:dyDescent="0.25">
      <c r="E190" s="617" t="s">
        <v>192</v>
      </c>
      <c r="F190" s="456"/>
      <c r="G190" s="456"/>
    </row>
    <row r="191" spans="1:11" ht="15" thickBot="1" x14ac:dyDescent="0.25"/>
    <row r="192" spans="1:11" x14ac:dyDescent="0.2">
      <c r="A192" s="565" t="s">
        <v>193</v>
      </c>
      <c r="B192" s="583" t="s">
        <v>172</v>
      </c>
      <c r="C192" s="583" t="s">
        <v>173</v>
      </c>
      <c r="D192" s="583" t="s">
        <v>174</v>
      </c>
      <c r="E192" s="585" t="s">
        <v>175</v>
      </c>
      <c r="F192" s="586"/>
      <c r="G192" s="586"/>
      <c r="H192" s="586"/>
      <c r="I192" s="586"/>
      <c r="J192" s="586"/>
      <c r="K192" s="583"/>
    </row>
    <row r="193" spans="1:11" ht="15" thickBot="1" x14ac:dyDescent="0.25">
      <c r="A193" s="566"/>
      <c r="B193" s="584"/>
      <c r="C193" s="584"/>
      <c r="D193" s="584"/>
      <c r="E193" s="587"/>
      <c r="F193" s="588"/>
      <c r="G193" s="588"/>
      <c r="H193" s="588"/>
      <c r="I193" s="588"/>
      <c r="J193" s="588"/>
      <c r="K193" s="584"/>
    </row>
    <row r="194" spans="1:11" ht="14.25" customHeight="1" x14ac:dyDescent="0.2">
      <c r="A194" s="618">
        <v>1</v>
      </c>
      <c r="B194" s="606">
        <v>0</v>
      </c>
      <c r="C194" s="576"/>
      <c r="D194" s="576"/>
      <c r="E194" s="576"/>
      <c r="F194" s="576"/>
      <c r="G194" s="576"/>
      <c r="H194" s="576"/>
      <c r="I194" s="576"/>
      <c r="J194" s="576"/>
      <c r="K194" s="576"/>
    </row>
    <row r="195" spans="1:11" ht="15" customHeight="1" thickBot="1" x14ac:dyDescent="0.25">
      <c r="A195" s="619"/>
      <c r="B195" s="607"/>
      <c r="C195" s="616"/>
      <c r="D195" s="616"/>
      <c r="E195" s="616"/>
      <c r="F195" s="616"/>
      <c r="G195" s="616"/>
      <c r="H195" s="616"/>
      <c r="I195" s="616"/>
      <c r="J195" s="616"/>
      <c r="K195" s="616"/>
    </row>
    <row r="196" spans="1:11" ht="14.25" customHeight="1" x14ac:dyDescent="0.2">
      <c r="A196" s="618">
        <v>2</v>
      </c>
      <c r="B196" s="606">
        <v>0</v>
      </c>
      <c r="C196" s="575"/>
      <c r="D196" s="576"/>
      <c r="E196" s="620"/>
      <c r="F196" s="576"/>
      <c r="G196" s="576"/>
      <c r="H196" s="576"/>
      <c r="I196" s="576"/>
      <c r="J196" s="576"/>
      <c r="K196" s="576"/>
    </row>
    <row r="197" spans="1:11" ht="15" customHeight="1" thickBot="1" x14ac:dyDescent="0.25">
      <c r="A197" s="619"/>
      <c r="B197" s="607"/>
      <c r="C197" s="568"/>
      <c r="D197" s="616"/>
      <c r="E197" s="616"/>
      <c r="F197" s="616"/>
      <c r="G197" s="616"/>
      <c r="H197" s="616"/>
      <c r="I197" s="616"/>
      <c r="J197" s="616"/>
      <c r="K197" s="616"/>
    </row>
    <row r="198" spans="1:11" ht="14.25" customHeight="1" x14ac:dyDescent="0.2">
      <c r="A198" s="618">
        <v>3</v>
      </c>
      <c r="B198" s="606">
        <v>0</v>
      </c>
      <c r="C198" s="576"/>
      <c r="D198" s="606"/>
      <c r="E198" s="621"/>
      <c r="F198" s="576"/>
      <c r="G198" s="576"/>
      <c r="H198" s="576"/>
      <c r="I198" s="576"/>
      <c r="J198" s="576"/>
      <c r="K198" s="576"/>
    </row>
    <row r="199" spans="1:11" ht="15" customHeight="1" thickBot="1" x14ac:dyDescent="0.25">
      <c r="A199" s="619"/>
      <c r="B199" s="607"/>
      <c r="C199" s="616"/>
      <c r="D199" s="607"/>
      <c r="E199" s="616"/>
      <c r="F199" s="616"/>
      <c r="G199" s="616"/>
      <c r="H199" s="616"/>
      <c r="I199" s="616"/>
      <c r="J199" s="616"/>
      <c r="K199" s="616"/>
    </row>
    <row r="200" spans="1:11" ht="14.25" customHeight="1" x14ac:dyDescent="0.2">
      <c r="A200" s="618">
        <v>4</v>
      </c>
      <c r="B200" s="606"/>
      <c r="C200" s="576"/>
      <c r="D200" s="606">
        <v>0</v>
      </c>
      <c r="E200" s="576"/>
      <c r="F200" s="576"/>
      <c r="G200" s="576"/>
      <c r="H200" s="576"/>
      <c r="I200" s="576"/>
      <c r="J200" s="576"/>
      <c r="K200" s="576"/>
    </row>
    <row r="201" spans="1:11" ht="15" customHeight="1" thickBot="1" x14ac:dyDescent="0.25">
      <c r="A201" s="619"/>
      <c r="B201" s="607"/>
      <c r="C201" s="616"/>
      <c r="D201" s="607"/>
      <c r="E201" s="616"/>
      <c r="F201" s="616"/>
      <c r="G201" s="616"/>
      <c r="H201" s="616"/>
      <c r="I201" s="616"/>
      <c r="J201" s="616"/>
      <c r="K201" s="616"/>
    </row>
    <row r="202" spans="1:11" ht="14.25" customHeight="1" x14ac:dyDescent="0.2">
      <c r="A202" s="618">
        <v>5</v>
      </c>
      <c r="B202" s="606">
        <v>0</v>
      </c>
      <c r="C202" s="576"/>
      <c r="D202" s="606"/>
      <c r="E202" s="576"/>
      <c r="F202" s="576"/>
      <c r="G202" s="576"/>
      <c r="H202" s="576"/>
      <c r="I202" s="576"/>
      <c r="J202" s="576"/>
      <c r="K202" s="576"/>
    </row>
    <row r="203" spans="1:11" ht="15" customHeight="1" thickBot="1" x14ac:dyDescent="0.25">
      <c r="A203" s="619"/>
      <c r="B203" s="607"/>
      <c r="C203" s="616"/>
      <c r="D203" s="607"/>
      <c r="E203" s="616"/>
      <c r="F203" s="616"/>
      <c r="G203" s="616"/>
      <c r="H203" s="616"/>
      <c r="I203" s="616"/>
      <c r="J203" s="616"/>
      <c r="K203" s="616"/>
    </row>
    <row r="204" spans="1:11" ht="14.25" customHeight="1" x14ac:dyDescent="0.2">
      <c r="A204" s="618">
        <v>6</v>
      </c>
      <c r="B204" s="606">
        <v>0</v>
      </c>
      <c r="C204" s="576"/>
      <c r="D204" s="606"/>
      <c r="E204" s="620"/>
      <c r="F204" s="576"/>
      <c r="G204" s="576"/>
      <c r="H204" s="576"/>
      <c r="I204" s="576"/>
      <c r="J204" s="576"/>
      <c r="K204" s="576"/>
    </row>
    <row r="205" spans="1:11" ht="15" customHeight="1" thickBot="1" x14ac:dyDescent="0.25">
      <c r="A205" s="619"/>
      <c r="B205" s="607"/>
      <c r="C205" s="616"/>
      <c r="D205" s="607"/>
      <c r="E205" s="616"/>
      <c r="F205" s="616"/>
      <c r="G205" s="616"/>
      <c r="H205" s="616"/>
      <c r="I205" s="616"/>
      <c r="J205" s="616"/>
      <c r="K205" s="616"/>
    </row>
    <row r="206" spans="1:11" ht="14.25" customHeight="1" x14ac:dyDescent="0.2">
      <c r="A206" s="618">
        <v>7</v>
      </c>
      <c r="B206" s="606">
        <v>0</v>
      </c>
      <c r="C206" s="576"/>
      <c r="D206" s="606"/>
      <c r="E206" s="576"/>
      <c r="F206" s="576"/>
      <c r="G206" s="576"/>
      <c r="H206" s="576"/>
      <c r="I206" s="576"/>
      <c r="J206" s="576"/>
      <c r="K206" s="576"/>
    </row>
    <row r="207" spans="1:11" ht="15" customHeight="1" thickBot="1" x14ac:dyDescent="0.25">
      <c r="A207" s="619"/>
      <c r="B207" s="607"/>
      <c r="C207" s="616"/>
      <c r="D207" s="607"/>
      <c r="E207" s="616"/>
      <c r="F207" s="616"/>
      <c r="G207" s="616"/>
      <c r="H207" s="616"/>
      <c r="I207" s="616"/>
      <c r="J207" s="616"/>
      <c r="K207" s="616"/>
    </row>
    <row r="208" spans="1:11" ht="14.25" customHeight="1" x14ac:dyDescent="0.2">
      <c r="A208" s="618">
        <v>8</v>
      </c>
      <c r="B208" s="606">
        <v>0</v>
      </c>
      <c r="C208" s="575"/>
      <c r="D208" s="576"/>
      <c r="E208" s="610"/>
      <c r="F208" s="610"/>
      <c r="G208" s="610"/>
      <c r="H208" s="610"/>
      <c r="I208" s="610"/>
      <c r="J208" s="610"/>
      <c r="K208" s="610"/>
    </row>
    <row r="209" spans="1:11" ht="15" customHeight="1" thickBot="1" x14ac:dyDescent="0.25">
      <c r="A209" s="619"/>
      <c r="B209" s="607"/>
      <c r="C209" s="568"/>
      <c r="D209" s="616"/>
      <c r="E209" s="611"/>
      <c r="F209" s="611"/>
      <c r="G209" s="611"/>
      <c r="H209" s="611"/>
      <c r="I209" s="611"/>
      <c r="J209" s="611"/>
      <c r="K209" s="611"/>
    </row>
    <row r="210" spans="1:11" ht="14.25" customHeight="1" x14ac:dyDescent="0.2">
      <c r="A210" s="618">
        <v>9</v>
      </c>
      <c r="B210" s="606">
        <v>0</v>
      </c>
      <c r="C210" s="576"/>
      <c r="D210" s="576"/>
      <c r="E210" s="576"/>
      <c r="F210" s="576"/>
      <c r="G210" s="576"/>
      <c r="H210" s="576"/>
      <c r="I210" s="576"/>
      <c r="J210" s="576"/>
      <c r="K210" s="576"/>
    </row>
    <row r="211" spans="1:11" ht="15" customHeight="1" thickBot="1" x14ac:dyDescent="0.25">
      <c r="A211" s="619"/>
      <c r="B211" s="607"/>
      <c r="C211" s="616"/>
      <c r="D211" s="616"/>
      <c r="E211" s="616"/>
      <c r="F211" s="616"/>
      <c r="G211" s="616"/>
      <c r="H211" s="616"/>
      <c r="I211" s="616"/>
      <c r="J211" s="616"/>
      <c r="K211" s="616"/>
    </row>
    <row r="212" spans="1:11" ht="14.25" customHeight="1" x14ac:dyDescent="0.2">
      <c r="A212" s="618">
        <v>10</v>
      </c>
      <c r="B212" s="606">
        <v>0</v>
      </c>
      <c r="C212" s="576"/>
      <c r="D212" s="606"/>
      <c r="E212" s="576"/>
      <c r="F212" s="576"/>
      <c r="G212" s="576"/>
      <c r="H212" s="576"/>
      <c r="I212" s="576"/>
      <c r="J212" s="576"/>
      <c r="K212" s="576"/>
    </row>
    <row r="213" spans="1:11" ht="15" customHeight="1" thickBot="1" x14ac:dyDescent="0.25">
      <c r="A213" s="619"/>
      <c r="B213" s="607"/>
      <c r="C213" s="616"/>
      <c r="D213" s="607"/>
      <c r="E213" s="616"/>
      <c r="F213" s="616"/>
      <c r="G213" s="616"/>
      <c r="H213" s="616"/>
      <c r="I213" s="616"/>
      <c r="J213" s="616"/>
      <c r="K213" s="616"/>
    </row>
    <row r="214" spans="1:11" ht="14.25" customHeight="1" x14ac:dyDescent="0.2">
      <c r="A214" s="618">
        <v>11</v>
      </c>
      <c r="B214" s="606">
        <v>0</v>
      </c>
      <c r="C214" s="576"/>
      <c r="D214" s="576"/>
      <c r="E214" s="576"/>
      <c r="F214" s="576"/>
      <c r="G214" s="576"/>
      <c r="H214" s="576"/>
      <c r="I214" s="576"/>
      <c r="J214" s="576"/>
      <c r="K214" s="576"/>
    </row>
    <row r="215" spans="1:11" ht="15" customHeight="1" thickBot="1" x14ac:dyDescent="0.25">
      <c r="A215" s="619"/>
      <c r="B215" s="607"/>
      <c r="C215" s="616"/>
      <c r="D215" s="616"/>
      <c r="E215" s="616"/>
      <c r="F215" s="616"/>
      <c r="G215" s="616"/>
      <c r="H215" s="616"/>
      <c r="I215" s="616"/>
      <c r="J215" s="616"/>
      <c r="K215" s="616"/>
    </row>
    <row r="216" spans="1:11" ht="14.25" customHeight="1" x14ac:dyDescent="0.2">
      <c r="A216" s="618">
        <v>12</v>
      </c>
      <c r="B216" s="606">
        <v>0</v>
      </c>
      <c r="C216" s="576"/>
      <c r="D216" s="575"/>
      <c r="E216" s="620"/>
      <c r="F216" s="576"/>
      <c r="G216" s="576"/>
      <c r="H216" s="576"/>
      <c r="I216" s="576"/>
      <c r="J216" s="576"/>
      <c r="K216" s="576"/>
    </row>
    <row r="217" spans="1:11" ht="15" customHeight="1" thickBot="1" x14ac:dyDescent="0.25">
      <c r="A217" s="619"/>
      <c r="B217" s="607"/>
      <c r="C217" s="616"/>
      <c r="D217" s="568"/>
      <c r="E217" s="616"/>
      <c r="F217" s="616"/>
      <c r="G217" s="616"/>
      <c r="H217" s="616"/>
      <c r="I217" s="616"/>
      <c r="J217" s="616"/>
      <c r="K217" s="616"/>
    </row>
    <row r="218" spans="1:11" ht="14.25" customHeight="1" x14ac:dyDescent="0.2">
      <c r="A218" s="618">
        <v>13</v>
      </c>
      <c r="B218" s="606">
        <v>0</v>
      </c>
      <c r="C218" s="576"/>
      <c r="D218" s="606"/>
      <c r="E218" s="576"/>
      <c r="F218" s="576"/>
      <c r="G218" s="576"/>
      <c r="H218" s="576"/>
      <c r="I218" s="576"/>
      <c r="J218" s="576"/>
      <c r="K218" s="576"/>
    </row>
    <row r="219" spans="1:11" ht="15" customHeight="1" thickBot="1" x14ac:dyDescent="0.25">
      <c r="A219" s="619"/>
      <c r="B219" s="607"/>
      <c r="C219" s="616"/>
      <c r="D219" s="607"/>
      <c r="E219" s="616"/>
      <c r="F219" s="616"/>
      <c r="G219" s="616"/>
      <c r="H219" s="616"/>
      <c r="I219" s="616"/>
      <c r="J219" s="616"/>
      <c r="K219" s="616"/>
    </row>
    <row r="220" spans="1:11" ht="14.25" customHeight="1" x14ac:dyDescent="0.2">
      <c r="A220" s="618">
        <v>14</v>
      </c>
      <c r="B220" s="606">
        <v>0</v>
      </c>
      <c r="C220" s="576"/>
      <c r="D220" s="576"/>
      <c r="E220" s="576"/>
      <c r="F220" s="576"/>
      <c r="G220" s="576"/>
      <c r="H220" s="576"/>
      <c r="I220" s="576"/>
      <c r="J220" s="576"/>
      <c r="K220" s="576"/>
    </row>
    <row r="221" spans="1:11" ht="15" customHeight="1" thickBot="1" x14ac:dyDescent="0.25">
      <c r="A221" s="619"/>
      <c r="B221" s="607"/>
      <c r="C221" s="616"/>
      <c r="D221" s="616"/>
      <c r="E221" s="616"/>
      <c r="F221" s="616"/>
      <c r="G221" s="616"/>
      <c r="H221" s="616"/>
      <c r="I221" s="616"/>
      <c r="J221" s="616"/>
      <c r="K221" s="616"/>
    </row>
    <row r="222" spans="1:11" ht="14.25" customHeight="1" x14ac:dyDescent="0.2">
      <c r="A222" s="618">
        <v>15</v>
      </c>
      <c r="B222" s="606">
        <v>0</v>
      </c>
      <c r="C222" s="576"/>
      <c r="D222" s="576"/>
      <c r="E222" s="576"/>
      <c r="F222" s="576"/>
      <c r="G222" s="576"/>
      <c r="H222" s="576"/>
      <c r="I222" s="576"/>
      <c r="J222" s="576"/>
      <c r="K222" s="576"/>
    </row>
    <row r="223" spans="1:11" ht="15" customHeight="1" thickBot="1" x14ac:dyDescent="0.25">
      <c r="A223" s="619"/>
      <c r="B223" s="607"/>
      <c r="C223" s="616"/>
      <c r="D223" s="616"/>
      <c r="E223" s="616"/>
      <c r="F223" s="616"/>
      <c r="G223" s="616"/>
      <c r="H223" s="616"/>
      <c r="I223" s="616"/>
      <c r="J223" s="616"/>
      <c r="K223" s="616"/>
    </row>
    <row r="224" spans="1:11" ht="14.25" customHeight="1" x14ac:dyDescent="0.2">
      <c r="A224" s="618">
        <v>16</v>
      </c>
      <c r="B224" s="606">
        <v>0</v>
      </c>
      <c r="C224" s="576"/>
      <c r="D224" s="576"/>
      <c r="E224" s="576"/>
      <c r="F224" s="576"/>
      <c r="G224" s="576"/>
      <c r="H224" s="576"/>
      <c r="I224" s="576"/>
      <c r="J224" s="576"/>
      <c r="K224" s="576"/>
    </row>
    <row r="225" spans="1:11" ht="15" customHeight="1" thickBot="1" x14ac:dyDescent="0.25">
      <c r="A225" s="619"/>
      <c r="B225" s="607"/>
      <c r="C225" s="616"/>
      <c r="D225" s="616"/>
      <c r="E225" s="616"/>
      <c r="F225" s="616"/>
      <c r="G225" s="616"/>
      <c r="H225" s="616"/>
      <c r="I225" s="616"/>
      <c r="J225" s="616"/>
      <c r="K225" s="616"/>
    </row>
    <row r="226" spans="1:11" x14ac:dyDescent="0.2">
      <c r="A226" s="596" t="s">
        <v>137</v>
      </c>
      <c r="B226" s="597"/>
      <c r="C226" s="597"/>
      <c r="D226" s="597"/>
      <c r="E226" s="597"/>
      <c r="F226" s="597"/>
      <c r="G226" s="597"/>
      <c r="H226" s="597"/>
      <c r="I226" s="597"/>
      <c r="J226" s="597"/>
      <c r="K226" s="598"/>
    </row>
    <row r="227" spans="1:11" x14ac:dyDescent="0.2">
      <c r="A227" s="599"/>
      <c r="B227" s="383"/>
      <c r="C227" s="383"/>
      <c r="D227" s="383"/>
      <c r="E227" s="383"/>
      <c r="F227" s="383"/>
      <c r="G227" s="383"/>
      <c r="H227" s="383"/>
      <c r="I227" s="383"/>
      <c r="J227" s="383"/>
      <c r="K227" s="600"/>
    </row>
    <row r="228" spans="1:11" x14ac:dyDescent="0.2">
      <c r="A228" s="599"/>
      <c r="B228" s="383"/>
      <c r="C228" s="383"/>
      <c r="D228" s="383"/>
      <c r="E228" s="383"/>
      <c r="F228" s="383"/>
      <c r="G228" s="383"/>
      <c r="H228" s="383"/>
      <c r="I228" s="383"/>
      <c r="J228" s="383"/>
      <c r="K228" s="600"/>
    </row>
    <row r="229" spans="1:11" ht="15" thickBot="1" x14ac:dyDescent="0.25">
      <c r="A229" s="601"/>
      <c r="B229" s="602"/>
      <c r="C229" s="602"/>
      <c r="D229" s="602"/>
      <c r="E229" s="602"/>
      <c r="F229" s="602"/>
      <c r="G229" s="602"/>
      <c r="H229" s="602"/>
      <c r="I229" s="602"/>
      <c r="J229" s="602"/>
      <c r="K229" s="603"/>
    </row>
    <row r="231" spans="1:11" ht="15.75" x14ac:dyDescent="0.25">
      <c r="A231" s="163" t="s">
        <v>188</v>
      </c>
      <c r="G231" s="345" t="s">
        <v>189</v>
      </c>
      <c r="H231" s="345"/>
      <c r="I231" s="345"/>
    </row>
    <row r="232" spans="1:11" x14ac:dyDescent="0.2">
      <c r="G232" s="456"/>
      <c r="H232" s="456"/>
      <c r="I232" s="456"/>
    </row>
    <row r="233" spans="1:11" x14ac:dyDescent="0.2">
      <c r="A233" t="s">
        <v>108</v>
      </c>
      <c r="G233" s="456"/>
      <c r="H233" s="456"/>
      <c r="I233" s="456"/>
    </row>
    <row r="234" spans="1:11" x14ac:dyDescent="0.2">
      <c r="G234" s="456"/>
      <c r="H234" s="456"/>
      <c r="I234" s="456"/>
    </row>
    <row r="235" spans="1:11" x14ac:dyDescent="0.2">
      <c r="A235" t="s">
        <v>194</v>
      </c>
      <c r="G235" s="456"/>
      <c r="H235" s="456"/>
      <c r="I235" s="456"/>
    </row>
    <row r="253" spans="1:11" ht="15" thickBot="1" x14ac:dyDescent="0.25"/>
    <row r="254" spans="1:11" ht="15" thickBot="1" x14ac:dyDescent="0.25">
      <c r="A254" s="164" t="s">
        <v>38</v>
      </c>
      <c r="B254" s="153" t="s">
        <v>39</v>
      </c>
      <c r="J254" s="153"/>
      <c r="K254" s="154" t="s">
        <v>164</v>
      </c>
    </row>
    <row r="255" spans="1:11" ht="15.75" thickTop="1" thickBot="1" x14ac:dyDescent="0.25">
      <c r="A255" s="165" t="s">
        <v>54</v>
      </c>
      <c r="B255" s="156">
        <v>1</v>
      </c>
      <c r="J255" s="156"/>
      <c r="K255" s="157" t="s">
        <v>165</v>
      </c>
    </row>
    <row r="256" spans="1:11" ht="25.5" thickTop="1" thickBot="1" x14ac:dyDescent="0.25">
      <c r="A256" s="165" t="s">
        <v>40</v>
      </c>
      <c r="B256" s="156" t="s">
        <v>253</v>
      </c>
      <c r="J256" s="156"/>
      <c r="K256" s="157" t="s">
        <v>166</v>
      </c>
    </row>
    <row r="257" spans="1:11" ht="15.75" thickTop="1" thickBot="1" x14ac:dyDescent="0.25">
      <c r="A257" s="165" t="s">
        <v>42</v>
      </c>
      <c r="B257" s="177">
        <v>45060</v>
      </c>
      <c r="J257" s="156"/>
      <c r="K257" s="157" t="s">
        <v>167</v>
      </c>
    </row>
    <row r="258" spans="1:11" ht="17.25" thickTop="1" thickBot="1" x14ac:dyDescent="0.3">
      <c r="A258" s="166" t="s">
        <v>43</v>
      </c>
      <c r="B258" s="159"/>
      <c r="E258" s="581" t="s">
        <v>308</v>
      </c>
      <c r="F258" s="581"/>
      <c r="G258" s="581"/>
      <c r="J258" s="159"/>
      <c r="K258" s="160" t="s">
        <v>169</v>
      </c>
    </row>
    <row r="259" spans="1:11" ht="15" x14ac:dyDescent="0.25">
      <c r="E259" s="617" t="s">
        <v>192</v>
      </c>
      <c r="F259" s="456"/>
      <c r="G259" s="456"/>
    </row>
    <row r="260" spans="1:11" ht="15" thickBot="1" x14ac:dyDescent="0.25"/>
    <row r="261" spans="1:11" x14ac:dyDescent="0.2">
      <c r="A261" s="565" t="s">
        <v>193</v>
      </c>
      <c r="B261" s="583" t="s">
        <v>172</v>
      </c>
      <c r="C261" s="583" t="s">
        <v>173</v>
      </c>
      <c r="D261" s="583" t="s">
        <v>174</v>
      </c>
      <c r="E261" s="585" t="s">
        <v>175</v>
      </c>
      <c r="F261" s="586"/>
      <c r="G261" s="586"/>
      <c r="H261" s="586"/>
      <c r="I261" s="586"/>
      <c r="J261" s="586"/>
      <c r="K261" s="583"/>
    </row>
    <row r="262" spans="1:11" ht="15" thickBot="1" x14ac:dyDescent="0.25">
      <c r="A262" s="566"/>
      <c r="B262" s="584"/>
      <c r="C262" s="584"/>
      <c r="D262" s="584"/>
      <c r="E262" s="587"/>
      <c r="F262" s="588"/>
      <c r="G262" s="588"/>
      <c r="H262" s="588"/>
      <c r="I262" s="588"/>
      <c r="J262" s="588"/>
      <c r="K262" s="584"/>
    </row>
    <row r="263" spans="1:11" x14ac:dyDescent="0.2">
      <c r="A263" s="612">
        <v>1</v>
      </c>
      <c r="B263" s="606">
        <v>0</v>
      </c>
      <c r="C263" s="576"/>
      <c r="D263" s="576"/>
      <c r="E263" s="576"/>
      <c r="F263" s="576"/>
      <c r="G263" s="576"/>
      <c r="H263" s="576"/>
      <c r="I263" s="576"/>
      <c r="J263" s="576"/>
      <c r="K263" s="576"/>
    </row>
    <row r="264" spans="1:11" ht="15" thickBot="1" x14ac:dyDescent="0.25">
      <c r="A264" s="613"/>
      <c r="B264" s="607"/>
      <c r="C264" s="616"/>
      <c r="D264" s="616"/>
      <c r="E264" s="616"/>
      <c r="F264" s="616"/>
      <c r="G264" s="616"/>
      <c r="H264" s="616"/>
      <c r="I264" s="616"/>
      <c r="J264" s="616"/>
      <c r="K264" s="616"/>
    </row>
    <row r="265" spans="1:11" x14ac:dyDescent="0.2">
      <c r="A265" s="612">
        <v>2</v>
      </c>
      <c r="B265" s="606">
        <v>0</v>
      </c>
      <c r="C265" s="606"/>
      <c r="D265" s="608"/>
      <c r="E265" s="610"/>
      <c r="F265" s="610"/>
      <c r="G265" s="610"/>
      <c r="H265" s="610"/>
      <c r="I265" s="610"/>
      <c r="J265" s="610"/>
      <c r="K265" s="610"/>
    </row>
    <row r="266" spans="1:11" ht="15" thickBot="1" x14ac:dyDescent="0.25">
      <c r="A266" s="613"/>
      <c r="B266" s="607"/>
      <c r="C266" s="607"/>
      <c r="D266" s="609"/>
      <c r="E266" s="611"/>
      <c r="F266" s="611"/>
      <c r="G266" s="611"/>
      <c r="H266" s="611"/>
      <c r="I266" s="611"/>
      <c r="J266" s="611"/>
      <c r="K266" s="611"/>
    </row>
    <row r="267" spans="1:11" ht="14.25" customHeight="1" x14ac:dyDescent="0.2">
      <c r="A267" s="612">
        <v>3</v>
      </c>
      <c r="B267" s="606">
        <v>0</v>
      </c>
      <c r="C267" s="606"/>
      <c r="D267" s="606"/>
      <c r="E267" s="610"/>
      <c r="F267" s="610"/>
      <c r="G267" s="610"/>
      <c r="H267" s="610"/>
      <c r="I267" s="610"/>
      <c r="J267" s="610"/>
      <c r="K267" s="610"/>
    </row>
    <row r="268" spans="1:11" ht="15" customHeight="1" thickBot="1" x14ac:dyDescent="0.25">
      <c r="A268" s="613"/>
      <c r="B268" s="607"/>
      <c r="C268" s="607"/>
      <c r="D268" s="607"/>
      <c r="E268" s="611"/>
      <c r="F268" s="611"/>
      <c r="G268" s="611"/>
      <c r="H268" s="611"/>
      <c r="I268" s="611"/>
      <c r="J268" s="611"/>
      <c r="K268" s="611"/>
    </row>
    <row r="269" spans="1:11" ht="14.25" customHeight="1" x14ac:dyDescent="0.2">
      <c r="A269" s="612">
        <v>4</v>
      </c>
      <c r="B269" s="606">
        <v>0</v>
      </c>
      <c r="C269" s="606"/>
      <c r="D269" s="606"/>
      <c r="E269" s="610"/>
      <c r="F269" s="610"/>
      <c r="G269" s="610"/>
      <c r="H269" s="610"/>
      <c r="I269" s="610"/>
      <c r="J269" s="610"/>
      <c r="K269" s="610"/>
    </row>
    <row r="270" spans="1:11" ht="15" customHeight="1" thickBot="1" x14ac:dyDescent="0.25">
      <c r="A270" s="613"/>
      <c r="B270" s="607"/>
      <c r="C270" s="607"/>
      <c r="D270" s="607"/>
      <c r="E270" s="611"/>
      <c r="F270" s="611"/>
      <c r="G270" s="611"/>
      <c r="H270" s="611"/>
      <c r="I270" s="611"/>
      <c r="J270" s="611"/>
      <c r="K270" s="611"/>
    </row>
    <row r="271" spans="1:11" x14ac:dyDescent="0.2">
      <c r="A271" s="612">
        <v>5</v>
      </c>
      <c r="B271" s="606">
        <v>0</v>
      </c>
      <c r="C271" s="608"/>
      <c r="D271" s="606">
        <v>0</v>
      </c>
      <c r="E271" s="610"/>
      <c r="F271" s="610"/>
      <c r="G271" s="610"/>
      <c r="H271" s="610"/>
      <c r="I271" s="610"/>
      <c r="J271" s="610"/>
      <c r="K271" s="610"/>
    </row>
    <row r="272" spans="1:11" ht="15" thickBot="1" x14ac:dyDescent="0.25">
      <c r="A272" s="613"/>
      <c r="B272" s="607"/>
      <c r="C272" s="609"/>
      <c r="D272" s="607"/>
      <c r="E272" s="611"/>
      <c r="F272" s="611"/>
      <c r="G272" s="611"/>
      <c r="H272" s="611"/>
      <c r="I272" s="611"/>
      <c r="J272" s="611"/>
      <c r="K272" s="611"/>
    </row>
    <row r="273" spans="1:11" x14ac:dyDescent="0.2">
      <c r="A273" s="612">
        <v>6</v>
      </c>
      <c r="B273" s="606">
        <v>0</v>
      </c>
      <c r="C273" s="606"/>
      <c r="D273" s="606"/>
      <c r="E273" s="610"/>
      <c r="F273" s="610"/>
      <c r="G273" s="610"/>
      <c r="H273" s="610"/>
      <c r="I273" s="610"/>
      <c r="J273" s="610"/>
      <c r="K273" s="610"/>
    </row>
    <row r="274" spans="1:11" ht="15" thickBot="1" x14ac:dyDescent="0.25">
      <c r="A274" s="613"/>
      <c r="B274" s="607"/>
      <c r="C274" s="607"/>
      <c r="D274" s="607"/>
      <c r="E274" s="611"/>
      <c r="F274" s="611"/>
      <c r="G274" s="611"/>
      <c r="H274" s="611"/>
      <c r="I274" s="611"/>
      <c r="J274" s="611"/>
      <c r="K274" s="611"/>
    </row>
    <row r="275" spans="1:11" x14ac:dyDescent="0.2">
      <c r="A275" s="612">
        <v>7</v>
      </c>
      <c r="B275" s="606">
        <v>0</v>
      </c>
      <c r="C275" s="608"/>
      <c r="D275" s="608"/>
      <c r="E275" s="610"/>
      <c r="F275" s="610"/>
      <c r="G275" s="610"/>
      <c r="H275" s="610"/>
      <c r="I275" s="610"/>
      <c r="J275" s="610"/>
      <c r="K275" s="610"/>
    </row>
    <row r="276" spans="1:11" ht="15" thickBot="1" x14ac:dyDescent="0.25">
      <c r="A276" s="613"/>
      <c r="B276" s="607"/>
      <c r="C276" s="609"/>
      <c r="D276" s="609"/>
      <c r="E276" s="611"/>
      <c r="F276" s="611"/>
      <c r="G276" s="611"/>
      <c r="H276" s="611"/>
      <c r="I276" s="611"/>
      <c r="J276" s="611"/>
      <c r="K276" s="611"/>
    </row>
    <row r="277" spans="1:11" x14ac:dyDescent="0.2">
      <c r="A277" s="612">
        <v>8</v>
      </c>
      <c r="B277" s="606">
        <v>0</v>
      </c>
      <c r="C277" s="575"/>
      <c r="D277" s="608"/>
      <c r="E277" s="614"/>
      <c r="F277" s="614"/>
      <c r="G277" s="614"/>
      <c r="H277" s="614"/>
      <c r="I277" s="614"/>
      <c r="J277" s="614"/>
      <c r="K277" s="614"/>
    </row>
    <row r="278" spans="1:11" ht="15" thickBot="1" x14ac:dyDescent="0.25">
      <c r="A278" s="613"/>
      <c r="B278" s="607"/>
      <c r="C278" s="568"/>
      <c r="D278" s="609"/>
      <c r="E278" s="615"/>
      <c r="F278" s="615"/>
      <c r="G278" s="615"/>
      <c r="H278" s="615"/>
      <c r="I278" s="615"/>
      <c r="J278" s="615"/>
      <c r="K278" s="615"/>
    </row>
    <row r="279" spans="1:11" x14ac:dyDescent="0.2">
      <c r="A279" s="612">
        <v>9</v>
      </c>
      <c r="B279" s="606">
        <v>0</v>
      </c>
      <c r="C279" s="606"/>
      <c r="D279" s="608"/>
      <c r="E279" s="610"/>
      <c r="F279" s="610"/>
      <c r="G279" s="610"/>
      <c r="H279" s="610"/>
      <c r="I279" s="610"/>
      <c r="J279" s="610"/>
      <c r="K279" s="610"/>
    </row>
    <row r="280" spans="1:11" ht="15" thickBot="1" x14ac:dyDescent="0.25">
      <c r="A280" s="613"/>
      <c r="B280" s="607"/>
      <c r="C280" s="607"/>
      <c r="D280" s="609"/>
      <c r="E280" s="611"/>
      <c r="F280" s="611"/>
      <c r="G280" s="611"/>
      <c r="H280" s="611"/>
      <c r="I280" s="611"/>
      <c r="J280" s="611"/>
      <c r="K280" s="611"/>
    </row>
    <row r="281" spans="1:11" x14ac:dyDescent="0.2">
      <c r="A281" s="612">
        <v>10</v>
      </c>
      <c r="B281" s="606">
        <v>0</v>
      </c>
      <c r="C281" s="606"/>
      <c r="D281" s="608"/>
      <c r="E281" s="610"/>
      <c r="F281" s="610"/>
      <c r="G281" s="610"/>
      <c r="H281" s="610"/>
      <c r="I281" s="610"/>
      <c r="J281" s="610"/>
      <c r="K281" s="610"/>
    </row>
    <row r="282" spans="1:11" ht="15" thickBot="1" x14ac:dyDescent="0.25">
      <c r="A282" s="613"/>
      <c r="B282" s="607"/>
      <c r="C282" s="607"/>
      <c r="D282" s="609"/>
      <c r="E282" s="611"/>
      <c r="F282" s="611"/>
      <c r="G282" s="611"/>
      <c r="H282" s="611"/>
      <c r="I282" s="611"/>
      <c r="J282" s="611"/>
      <c r="K282" s="611"/>
    </row>
    <row r="283" spans="1:11" x14ac:dyDescent="0.2">
      <c r="A283" s="612">
        <v>11</v>
      </c>
      <c r="B283" s="606">
        <v>0</v>
      </c>
      <c r="C283" s="608"/>
      <c r="D283" s="608"/>
      <c r="E283" s="610"/>
      <c r="F283" s="610"/>
      <c r="G283" s="610"/>
      <c r="H283" s="610"/>
      <c r="I283" s="610"/>
      <c r="J283" s="610"/>
      <c r="K283" s="610"/>
    </row>
    <row r="284" spans="1:11" ht="15" thickBot="1" x14ac:dyDescent="0.25">
      <c r="A284" s="613"/>
      <c r="B284" s="607"/>
      <c r="C284" s="609"/>
      <c r="D284" s="609"/>
      <c r="E284" s="611"/>
      <c r="F284" s="611"/>
      <c r="G284" s="611"/>
      <c r="H284" s="611"/>
      <c r="I284" s="611"/>
      <c r="J284" s="611"/>
      <c r="K284" s="611"/>
    </row>
    <row r="285" spans="1:11" x14ac:dyDescent="0.2">
      <c r="A285" s="612">
        <v>12</v>
      </c>
      <c r="B285" s="606">
        <v>0</v>
      </c>
      <c r="C285" s="608"/>
      <c r="D285" s="606"/>
      <c r="E285" s="610"/>
      <c r="F285" s="610"/>
      <c r="G285" s="610"/>
      <c r="H285" s="610"/>
      <c r="I285" s="610"/>
      <c r="J285" s="610"/>
      <c r="K285" s="610"/>
    </row>
    <row r="286" spans="1:11" ht="15" thickBot="1" x14ac:dyDescent="0.25">
      <c r="A286" s="613"/>
      <c r="B286" s="607"/>
      <c r="C286" s="609"/>
      <c r="D286" s="607"/>
      <c r="E286" s="611"/>
      <c r="F286" s="611"/>
      <c r="G286" s="611"/>
      <c r="H286" s="611"/>
      <c r="I286" s="611"/>
      <c r="J286" s="611"/>
      <c r="K286" s="611"/>
    </row>
    <row r="287" spans="1:11" x14ac:dyDescent="0.2">
      <c r="A287" s="604">
        <v>1</v>
      </c>
      <c r="B287" s="606">
        <v>0</v>
      </c>
      <c r="C287" s="606"/>
      <c r="D287" s="608"/>
      <c r="E287" s="610"/>
      <c r="F287" s="610"/>
      <c r="G287" s="610"/>
      <c r="H287" s="610"/>
      <c r="I287" s="610"/>
      <c r="J287" s="610"/>
      <c r="K287" s="610"/>
    </row>
    <row r="288" spans="1:11" ht="15" thickBot="1" x14ac:dyDescent="0.25">
      <c r="A288" s="605"/>
      <c r="B288" s="607"/>
      <c r="C288" s="607"/>
      <c r="D288" s="609"/>
      <c r="E288" s="611"/>
      <c r="F288" s="611"/>
      <c r="G288" s="611"/>
      <c r="H288" s="611"/>
      <c r="I288" s="611"/>
      <c r="J288" s="611"/>
      <c r="K288" s="611"/>
    </row>
    <row r="289" spans="1:11" x14ac:dyDescent="0.2">
      <c r="A289" s="604">
        <v>2</v>
      </c>
      <c r="B289" s="606">
        <v>0</v>
      </c>
      <c r="C289" s="606"/>
      <c r="D289" s="608"/>
      <c r="E289" s="610"/>
      <c r="F289" s="610"/>
      <c r="G289" s="610"/>
      <c r="H289" s="610"/>
      <c r="I289" s="610"/>
      <c r="J289" s="610"/>
      <c r="K289" s="610"/>
    </row>
    <row r="290" spans="1:11" ht="15" thickBot="1" x14ac:dyDescent="0.25">
      <c r="A290" s="605"/>
      <c r="B290" s="607"/>
      <c r="C290" s="607"/>
      <c r="D290" s="609"/>
      <c r="E290" s="611"/>
      <c r="F290" s="611"/>
      <c r="G290" s="611"/>
      <c r="H290" s="611"/>
      <c r="I290" s="611"/>
      <c r="J290" s="611"/>
      <c r="K290" s="611"/>
    </row>
    <row r="291" spans="1:11" x14ac:dyDescent="0.2">
      <c r="A291" s="604">
        <v>3</v>
      </c>
      <c r="B291" s="606"/>
      <c r="C291" s="608"/>
      <c r="D291" s="606">
        <v>0</v>
      </c>
      <c r="E291" s="610"/>
      <c r="F291" s="610"/>
      <c r="G291" s="610"/>
      <c r="H291" s="610"/>
      <c r="I291" s="610"/>
      <c r="J291" s="610"/>
      <c r="K291" s="610"/>
    </row>
    <row r="292" spans="1:11" ht="15" thickBot="1" x14ac:dyDescent="0.25">
      <c r="A292" s="605"/>
      <c r="B292" s="607"/>
      <c r="C292" s="609"/>
      <c r="D292" s="607"/>
      <c r="E292" s="611"/>
      <c r="F292" s="611"/>
      <c r="G292" s="611"/>
      <c r="H292" s="611"/>
      <c r="I292" s="611"/>
      <c r="J292" s="611"/>
      <c r="K292" s="611"/>
    </row>
    <row r="293" spans="1:11" ht="23.25" x14ac:dyDescent="0.2">
      <c r="A293" s="260">
        <v>4</v>
      </c>
      <c r="B293" s="606">
        <v>0</v>
      </c>
      <c r="C293" s="608"/>
      <c r="D293" s="608"/>
      <c r="E293" s="610"/>
      <c r="F293" s="610"/>
      <c r="G293" s="610"/>
      <c r="H293" s="610"/>
      <c r="I293" s="610"/>
      <c r="J293" s="610"/>
      <c r="K293" s="610"/>
    </row>
    <row r="294" spans="1:11" ht="15" customHeight="1" thickBot="1" x14ac:dyDescent="0.25">
      <c r="A294" s="261"/>
      <c r="B294" s="607"/>
      <c r="C294" s="609"/>
      <c r="D294" s="609"/>
      <c r="E294" s="611"/>
      <c r="F294" s="611"/>
      <c r="G294" s="611"/>
      <c r="H294" s="611"/>
      <c r="I294" s="611"/>
      <c r="J294" s="611"/>
      <c r="K294" s="611"/>
    </row>
    <row r="295" spans="1:11" x14ac:dyDescent="0.2">
      <c r="A295" s="596" t="s">
        <v>137</v>
      </c>
      <c r="B295" s="597"/>
      <c r="C295" s="597"/>
      <c r="D295" s="597"/>
      <c r="E295" s="597"/>
      <c r="F295" s="597"/>
      <c r="G295" s="597"/>
      <c r="H295" s="597"/>
      <c r="I295" s="597"/>
      <c r="J295" s="597"/>
      <c r="K295" s="598"/>
    </row>
    <row r="296" spans="1:11" x14ac:dyDescent="0.2">
      <c r="A296" s="599"/>
      <c r="B296" s="383"/>
      <c r="C296" s="383"/>
      <c r="D296" s="383"/>
      <c r="E296" s="383"/>
      <c r="F296" s="383"/>
      <c r="G296" s="383"/>
      <c r="H296" s="383"/>
      <c r="I296" s="383"/>
      <c r="J296" s="383"/>
      <c r="K296" s="600"/>
    </row>
    <row r="297" spans="1:11" x14ac:dyDescent="0.2">
      <c r="A297" s="599"/>
      <c r="B297" s="383"/>
      <c r="C297" s="383"/>
      <c r="D297" s="383"/>
      <c r="E297" s="383"/>
      <c r="F297" s="383"/>
      <c r="G297" s="383"/>
      <c r="H297" s="383"/>
      <c r="I297" s="383"/>
      <c r="J297" s="383"/>
      <c r="K297" s="600"/>
    </row>
    <row r="298" spans="1:11" ht="15" thickBot="1" x14ac:dyDescent="0.25">
      <c r="A298" s="601"/>
      <c r="B298" s="602"/>
      <c r="C298" s="602"/>
      <c r="D298" s="602"/>
      <c r="E298" s="602"/>
      <c r="F298" s="602"/>
      <c r="G298" s="602"/>
      <c r="H298" s="602"/>
      <c r="I298" s="602"/>
      <c r="J298" s="602"/>
      <c r="K298" s="603"/>
    </row>
    <row r="300" spans="1:11" ht="15.75" x14ac:dyDescent="0.25">
      <c r="A300" s="163" t="s">
        <v>188</v>
      </c>
      <c r="G300" s="345" t="s">
        <v>189</v>
      </c>
      <c r="H300" s="345"/>
      <c r="I300" s="345"/>
    </row>
    <row r="301" spans="1:11" x14ac:dyDescent="0.2">
      <c r="G301" s="456"/>
      <c r="H301" s="456"/>
      <c r="I301" s="456"/>
    </row>
    <row r="302" spans="1:11" x14ac:dyDescent="0.2">
      <c r="A302" t="s">
        <v>108</v>
      </c>
      <c r="B302" t="s">
        <v>300</v>
      </c>
      <c r="G302" s="456"/>
      <c r="H302" s="456"/>
      <c r="I302" s="456"/>
    </row>
    <row r="303" spans="1:11" x14ac:dyDescent="0.2">
      <c r="G303" s="456"/>
      <c r="H303" s="456"/>
      <c r="I303" s="456"/>
    </row>
    <row r="309" spans="2:12" x14ac:dyDescent="0.2">
      <c r="B309">
        <f ca="1">B309:M413</f>
        <v>0</v>
      </c>
    </row>
    <row r="311" spans="2:12" ht="15" thickBot="1" x14ac:dyDescent="0.25"/>
    <row r="312" spans="2:12" ht="15" thickBot="1" x14ac:dyDescent="0.25">
      <c r="B312" s="164" t="s">
        <v>38</v>
      </c>
      <c r="C312" s="153" t="s">
        <v>39</v>
      </c>
      <c r="K312" s="153"/>
      <c r="L312" s="154" t="s">
        <v>164</v>
      </c>
    </row>
    <row r="313" spans="2:12" ht="25.5" thickTop="1" thickBot="1" x14ac:dyDescent="0.25">
      <c r="B313" s="165" t="s">
        <v>54</v>
      </c>
      <c r="C313" s="156">
        <v>1</v>
      </c>
      <c r="K313" s="156"/>
      <c r="L313" s="157" t="s">
        <v>165</v>
      </c>
    </row>
    <row r="314" spans="2:12" ht="25.5" thickTop="1" thickBot="1" x14ac:dyDescent="0.25">
      <c r="B314" s="165" t="s">
        <v>40</v>
      </c>
      <c r="C314" s="156" t="s">
        <v>144</v>
      </c>
      <c r="K314" s="156"/>
      <c r="L314" s="157" t="s">
        <v>166</v>
      </c>
    </row>
    <row r="315" spans="2:12" ht="15.75" thickTop="1" thickBot="1" x14ac:dyDescent="0.25">
      <c r="B315" s="165" t="s">
        <v>42</v>
      </c>
      <c r="C315" s="177">
        <v>45068</v>
      </c>
      <c r="K315" s="156"/>
      <c r="L315" s="157" t="s">
        <v>167</v>
      </c>
    </row>
    <row r="316" spans="2:12" ht="17.25" thickTop="1" thickBot="1" x14ac:dyDescent="0.3">
      <c r="B316" s="166" t="s">
        <v>43</v>
      </c>
      <c r="C316" s="253">
        <v>0.45833333333333331</v>
      </c>
      <c r="F316" s="581" t="s">
        <v>307</v>
      </c>
      <c r="G316" s="581"/>
      <c r="H316" s="581"/>
      <c r="K316" s="159"/>
      <c r="L316" s="160" t="s">
        <v>169</v>
      </c>
    </row>
    <row r="317" spans="2:12" ht="15" x14ac:dyDescent="0.25">
      <c r="F317" s="617" t="s">
        <v>192</v>
      </c>
      <c r="G317" s="456"/>
      <c r="H317" s="456"/>
    </row>
    <row r="318" spans="2:12" ht="15" thickBot="1" x14ac:dyDescent="0.25"/>
    <row r="319" spans="2:12" x14ac:dyDescent="0.2">
      <c r="B319" s="565" t="s">
        <v>193</v>
      </c>
      <c r="C319" s="583" t="s">
        <v>172</v>
      </c>
      <c r="D319" s="583" t="s">
        <v>173</v>
      </c>
      <c r="E319" s="583" t="s">
        <v>174</v>
      </c>
      <c r="F319" s="585" t="s">
        <v>175</v>
      </c>
      <c r="G319" s="586"/>
      <c r="H319" s="586"/>
      <c r="I319" s="586"/>
      <c r="J319" s="586"/>
      <c r="K319" s="586"/>
      <c r="L319" s="583"/>
    </row>
    <row r="320" spans="2:12" ht="15" thickBot="1" x14ac:dyDescent="0.25">
      <c r="B320" s="566"/>
      <c r="C320" s="584"/>
      <c r="D320" s="584"/>
      <c r="E320" s="584"/>
      <c r="F320" s="587"/>
      <c r="G320" s="588"/>
      <c r="H320" s="588"/>
      <c r="I320" s="588"/>
      <c r="J320" s="588"/>
      <c r="K320" s="588"/>
      <c r="L320" s="584"/>
    </row>
    <row r="321" spans="2:12" x14ac:dyDescent="0.2">
      <c r="B321" s="618">
        <v>1</v>
      </c>
      <c r="C321" s="563">
        <v>0</v>
      </c>
      <c r="D321" s="576"/>
      <c r="E321" s="576"/>
      <c r="F321" s="576"/>
      <c r="G321" s="576"/>
      <c r="H321" s="576"/>
      <c r="I321" s="576"/>
      <c r="J321" s="576"/>
      <c r="K321" s="576"/>
      <c r="L321" s="576"/>
    </row>
    <row r="322" spans="2:12" ht="15" thickBot="1" x14ac:dyDescent="0.25">
      <c r="B322" s="619"/>
      <c r="C322" s="564"/>
      <c r="D322" s="616"/>
      <c r="E322" s="616"/>
      <c r="F322" s="616"/>
      <c r="G322" s="616"/>
      <c r="H322" s="616"/>
      <c r="I322" s="616"/>
      <c r="J322" s="616"/>
      <c r="K322" s="616"/>
      <c r="L322" s="616"/>
    </row>
    <row r="323" spans="2:12" x14ac:dyDescent="0.2">
      <c r="B323" s="618">
        <v>2</v>
      </c>
      <c r="C323" s="563">
        <v>0</v>
      </c>
      <c r="D323" s="575"/>
      <c r="E323" s="576"/>
      <c r="F323" s="620"/>
      <c r="G323" s="576"/>
      <c r="H323" s="576"/>
      <c r="I323" s="576"/>
      <c r="J323" s="576"/>
      <c r="K323" s="576"/>
      <c r="L323" s="576"/>
    </row>
    <row r="324" spans="2:12" ht="15" thickBot="1" x14ac:dyDescent="0.25">
      <c r="B324" s="619"/>
      <c r="C324" s="564"/>
      <c r="D324" s="568"/>
      <c r="E324" s="616"/>
      <c r="F324" s="616"/>
      <c r="G324" s="616"/>
      <c r="H324" s="616"/>
      <c r="I324" s="616"/>
      <c r="J324" s="616"/>
      <c r="K324" s="616"/>
      <c r="L324" s="616"/>
    </row>
    <row r="325" spans="2:12" ht="14.25" customHeight="1" x14ac:dyDescent="0.2">
      <c r="B325" s="618">
        <v>3</v>
      </c>
      <c r="C325" s="563"/>
      <c r="D325" s="576"/>
      <c r="E325" s="606"/>
      <c r="F325" s="621"/>
      <c r="G325" s="576"/>
      <c r="H325" s="576"/>
      <c r="I325" s="576"/>
      <c r="J325" s="576"/>
      <c r="K325" s="576"/>
      <c r="L325" s="576"/>
    </row>
    <row r="326" spans="2:12" ht="15" thickBot="1" x14ac:dyDescent="0.25">
      <c r="B326" s="619"/>
      <c r="C326" s="564"/>
      <c r="D326" s="616"/>
      <c r="E326" s="607"/>
      <c r="F326" s="616"/>
      <c r="G326" s="616"/>
      <c r="H326" s="616"/>
      <c r="I326" s="616"/>
      <c r="J326" s="616"/>
      <c r="K326" s="616"/>
      <c r="L326" s="616"/>
    </row>
    <row r="327" spans="2:12" ht="14.25" customHeight="1" x14ac:dyDescent="0.2">
      <c r="B327" s="618">
        <v>4</v>
      </c>
      <c r="C327" s="563"/>
      <c r="D327" s="563">
        <v>0</v>
      </c>
      <c r="E327" s="576"/>
      <c r="F327" s="576"/>
      <c r="G327" s="576"/>
      <c r="H327" s="576"/>
      <c r="I327" s="576"/>
      <c r="J327" s="576"/>
      <c r="K327" s="576"/>
      <c r="L327" s="576"/>
    </row>
    <row r="328" spans="2:12" ht="15" customHeight="1" thickBot="1" x14ac:dyDescent="0.25">
      <c r="B328" s="619"/>
      <c r="C328" s="564"/>
      <c r="D328" s="564"/>
      <c r="E328" s="616"/>
      <c r="F328" s="616"/>
      <c r="G328" s="616"/>
      <c r="H328" s="616"/>
      <c r="I328" s="616"/>
      <c r="J328" s="616"/>
      <c r="K328" s="616"/>
      <c r="L328" s="616"/>
    </row>
    <row r="329" spans="2:12" x14ac:dyDescent="0.2">
      <c r="B329" s="618">
        <v>5</v>
      </c>
      <c r="C329" s="563">
        <v>0</v>
      </c>
      <c r="D329" s="576"/>
      <c r="E329" s="606"/>
      <c r="F329" s="576"/>
      <c r="G329" s="576"/>
      <c r="H329" s="576"/>
      <c r="I329" s="576"/>
      <c r="J329" s="576"/>
      <c r="K329" s="576"/>
      <c r="L329" s="576"/>
    </row>
    <row r="330" spans="2:12" ht="15" thickBot="1" x14ac:dyDescent="0.25">
      <c r="B330" s="619"/>
      <c r="C330" s="564"/>
      <c r="D330" s="616"/>
      <c r="E330" s="607"/>
      <c r="F330" s="616"/>
      <c r="G330" s="616"/>
      <c r="H330" s="616"/>
      <c r="I330" s="616"/>
      <c r="J330" s="616"/>
      <c r="K330" s="616"/>
      <c r="L330" s="616"/>
    </row>
    <row r="331" spans="2:12" x14ac:dyDescent="0.2">
      <c r="B331" s="618">
        <v>6</v>
      </c>
      <c r="C331" s="563">
        <v>0</v>
      </c>
      <c r="D331" s="576"/>
      <c r="E331" s="606"/>
      <c r="F331" s="620"/>
      <c r="G331" s="576"/>
      <c r="H331" s="576"/>
      <c r="I331" s="576"/>
      <c r="J331" s="576"/>
      <c r="K331" s="576"/>
      <c r="L331" s="576"/>
    </row>
    <row r="332" spans="2:12" ht="15" thickBot="1" x14ac:dyDescent="0.25">
      <c r="B332" s="619"/>
      <c r="C332" s="564"/>
      <c r="D332" s="616"/>
      <c r="E332" s="607"/>
      <c r="F332" s="616"/>
      <c r="G332" s="616"/>
      <c r="H332" s="616"/>
      <c r="I332" s="616"/>
      <c r="J332" s="616"/>
      <c r="K332" s="616"/>
      <c r="L332" s="616"/>
    </row>
    <row r="333" spans="2:12" x14ac:dyDescent="0.2">
      <c r="B333" s="618">
        <v>7</v>
      </c>
      <c r="C333" s="563">
        <v>0</v>
      </c>
      <c r="D333" s="576"/>
      <c r="E333" s="606"/>
      <c r="F333" s="576"/>
      <c r="G333" s="576"/>
      <c r="H333" s="576"/>
      <c r="I333" s="576"/>
      <c r="J333" s="576"/>
      <c r="K333" s="576"/>
      <c r="L333" s="576"/>
    </row>
    <row r="334" spans="2:12" ht="15" thickBot="1" x14ac:dyDescent="0.25">
      <c r="B334" s="619"/>
      <c r="C334" s="564"/>
      <c r="D334" s="616"/>
      <c r="E334" s="607"/>
      <c r="F334" s="616"/>
      <c r="G334" s="616"/>
      <c r="H334" s="616"/>
      <c r="I334" s="616"/>
      <c r="J334" s="616"/>
      <c r="K334" s="616"/>
      <c r="L334" s="616"/>
    </row>
    <row r="335" spans="2:12" x14ac:dyDescent="0.2">
      <c r="B335" s="618">
        <v>8</v>
      </c>
      <c r="C335" s="563">
        <v>0</v>
      </c>
      <c r="D335" s="575"/>
      <c r="E335" s="576"/>
      <c r="F335" s="610"/>
      <c r="G335" s="610"/>
      <c r="H335" s="610"/>
      <c r="I335" s="610"/>
      <c r="J335" s="610"/>
      <c r="K335" s="610"/>
      <c r="L335" s="610"/>
    </row>
    <row r="336" spans="2:12" ht="15" thickBot="1" x14ac:dyDescent="0.25">
      <c r="B336" s="619"/>
      <c r="C336" s="564"/>
      <c r="D336" s="568"/>
      <c r="E336" s="616"/>
      <c r="F336" s="611"/>
      <c r="G336" s="611"/>
      <c r="H336" s="611"/>
      <c r="I336" s="611"/>
      <c r="J336" s="611"/>
      <c r="K336" s="611"/>
      <c r="L336" s="611"/>
    </row>
    <row r="337" spans="2:12" x14ac:dyDescent="0.2">
      <c r="B337" s="618">
        <v>9</v>
      </c>
      <c r="C337" s="563">
        <v>0</v>
      </c>
      <c r="D337" s="576"/>
      <c r="E337" s="576"/>
      <c r="F337" s="576"/>
      <c r="G337" s="576"/>
      <c r="H337" s="576"/>
      <c r="I337" s="576"/>
      <c r="J337" s="576"/>
      <c r="K337" s="576"/>
      <c r="L337" s="576"/>
    </row>
    <row r="338" spans="2:12" ht="15" thickBot="1" x14ac:dyDescent="0.25">
      <c r="B338" s="619"/>
      <c r="C338" s="564"/>
      <c r="D338" s="616"/>
      <c r="E338" s="616"/>
      <c r="F338" s="616"/>
      <c r="G338" s="616"/>
      <c r="H338" s="616"/>
      <c r="I338" s="616"/>
      <c r="J338" s="616"/>
      <c r="K338" s="616"/>
      <c r="L338" s="616"/>
    </row>
    <row r="339" spans="2:12" x14ac:dyDescent="0.2">
      <c r="B339" s="618">
        <v>10</v>
      </c>
      <c r="C339" s="563">
        <v>0</v>
      </c>
      <c r="D339" s="576"/>
      <c r="E339" s="606"/>
      <c r="F339" s="576"/>
      <c r="G339" s="576"/>
      <c r="H339" s="576"/>
      <c r="I339" s="576"/>
      <c r="J339" s="576"/>
      <c r="K339" s="576"/>
      <c r="L339" s="576"/>
    </row>
    <row r="340" spans="2:12" ht="15" thickBot="1" x14ac:dyDescent="0.25">
      <c r="B340" s="619"/>
      <c r="C340" s="564"/>
      <c r="D340" s="616"/>
      <c r="E340" s="607"/>
      <c r="F340" s="616"/>
      <c r="G340" s="616"/>
      <c r="H340" s="616"/>
      <c r="I340" s="616"/>
      <c r="J340" s="616"/>
      <c r="K340" s="616"/>
      <c r="L340" s="616"/>
    </row>
    <row r="341" spans="2:12" x14ac:dyDescent="0.2">
      <c r="B341" s="618">
        <v>11</v>
      </c>
      <c r="C341" s="563">
        <v>0</v>
      </c>
      <c r="D341" s="576"/>
      <c r="E341" s="576"/>
      <c r="F341" s="576"/>
      <c r="G341" s="576"/>
      <c r="H341" s="576"/>
      <c r="I341" s="576"/>
      <c r="J341" s="576"/>
      <c r="K341" s="576"/>
      <c r="L341" s="576"/>
    </row>
    <row r="342" spans="2:12" ht="15" thickBot="1" x14ac:dyDescent="0.25">
      <c r="B342" s="619"/>
      <c r="C342" s="564"/>
      <c r="D342" s="616"/>
      <c r="E342" s="616"/>
      <c r="F342" s="616"/>
      <c r="G342" s="616"/>
      <c r="H342" s="616"/>
      <c r="I342" s="616"/>
      <c r="J342" s="616"/>
      <c r="K342" s="616"/>
      <c r="L342" s="616"/>
    </row>
    <row r="343" spans="2:12" x14ac:dyDescent="0.2">
      <c r="B343" s="618">
        <v>12</v>
      </c>
      <c r="C343" s="563">
        <v>0</v>
      </c>
      <c r="D343" s="576"/>
      <c r="E343" s="575"/>
      <c r="F343" s="620"/>
      <c r="G343" s="576"/>
      <c r="H343" s="576"/>
      <c r="I343" s="576"/>
      <c r="J343" s="576"/>
      <c r="K343" s="576"/>
      <c r="L343" s="576"/>
    </row>
    <row r="344" spans="2:12" ht="15" thickBot="1" x14ac:dyDescent="0.25">
      <c r="B344" s="619"/>
      <c r="C344" s="564"/>
      <c r="D344" s="616"/>
      <c r="E344" s="568"/>
      <c r="F344" s="616"/>
      <c r="G344" s="616"/>
      <c r="H344" s="616"/>
      <c r="I344" s="616"/>
      <c r="J344" s="616"/>
      <c r="K344" s="616"/>
      <c r="L344" s="616"/>
    </row>
    <row r="345" spans="2:12" ht="14.25" customHeight="1" x14ac:dyDescent="0.2">
      <c r="B345" s="618">
        <v>13</v>
      </c>
      <c r="C345" s="563">
        <v>0</v>
      </c>
      <c r="D345" s="576"/>
      <c r="E345" s="576"/>
      <c r="F345" s="576"/>
      <c r="G345" s="576"/>
      <c r="H345" s="576"/>
      <c r="I345" s="576"/>
      <c r="J345" s="576"/>
      <c r="K345" s="576"/>
      <c r="L345" s="576"/>
    </row>
    <row r="346" spans="2:12" ht="15" customHeight="1" thickBot="1" x14ac:dyDescent="0.25">
      <c r="B346" s="619"/>
      <c r="C346" s="564"/>
      <c r="D346" s="616"/>
      <c r="E346" s="616"/>
      <c r="F346" s="616"/>
      <c r="G346" s="616"/>
      <c r="H346" s="616"/>
      <c r="I346" s="616"/>
      <c r="J346" s="616"/>
      <c r="K346" s="616"/>
      <c r="L346" s="616"/>
    </row>
    <row r="347" spans="2:12" ht="14.25" customHeight="1" x14ac:dyDescent="0.2">
      <c r="B347" s="618">
        <v>14</v>
      </c>
      <c r="C347" s="563">
        <v>0</v>
      </c>
      <c r="D347" s="576"/>
      <c r="E347" s="576"/>
      <c r="F347" s="576"/>
      <c r="G347" s="576"/>
      <c r="H347" s="576"/>
      <c r="I347" s="576"/>
      <c r="J347" s="576"/>
      <c r="K347" s="576"/>
      <c r="L347" s="576"/>
    </row>
    <row r="348" spans="2:12" ht="15" customHeight="1" thickBot="1" x14ac:dyDescent="0.25">
      <c r="B348" s="619"/>
      <c r="C348" s="564"/>
      <c r="D348" s="616"/>
      <c r="E348" s="616"/>
      <c r="F348" s="616"/>
      <c r="G348" s="616"/>
      <c r="H348" s="616"/>
      <c r="I348" s="616"/>
      <c r="J348" s="616"/>
      <c r="K348" s="616"/>
      <c r="L348" s="616"/>
    </row>
    <row r="349" spans="2:12" ht="20.25" customHeight="1" x14ac:dyDescent="0.2">
      <c r="B349" s="618">
        <v>15</v>
      </c>
      <c r="C349" s="236">
        <v>0</v>
      </c>
      <c r="D349" s="640"/>
      <c r="E349" s="576"/>
      <c r="F349" s="576"/>
      <c r="G349" s="576"/>
      <c r="H349" s="576"/>
      <c r="I349" s="576"/>
      <c r="J349" s="576"/>
      <c r="K349" s="576"/>
      <c r="L349" s="576"/>
    </row>
    <row r="350" spans="2:12" ht="14.25" customHeight="1" thickBot="1" x14ac:dyDescent="0.25">
      <c r="B350" s="619"/>
      <c r="C350" s="237"/>
      <c r="D350" s="641"/>
      <c r="E350" s="616"/>
      <c r="F350" s="616"/>
      <c r="G350" s="616"/>
      <c r="H350" s="616"/>
      <c r="I350" s="616"/>
      <c r="J350" s="616"/>
      <c r="K350" s="616"/>
      <c r="L350" s="616"/>
    </row>
    <row r="351" spans="2:12" ht="14.25" customHeight="1" x14ac:dyDescent="0.2">
      <c r="B351" s="618">
        <v>16</v>
      </c>
      <c r="C351" s="563">
        <v>0</v>
      </c>
      <c r="D351" s="576"/>
      <c r="E351" s="576"/>
      <c r="F351" s="576"/>
      <c r="G351" s="576"/>
      <c r="H351" s="576"/>
      <c r="I351" s="576"/>
      <c r="J351" s="576"/>
      <c r="K351" s="576"/>
      <c r="L351" s="576"/>
    </row>
    <row r="352" spans="2:12" ht="15" customHeight="1" thickBot="1" x14ac:dyDescent="0.25">
      <c r="B352" s="619"/>
      <c r="C352" s="564"/>
      <c r="D352" s="616"/>
      <c r="E352" s="616"/>
      <c r="F352" s="616"/>
      <c r="G352" s="616"/>
      <c r="H352" s="616"/>
      <c r="I352" s="616"/>
      <c r="J352" s="616"/>
      <c r="K352" s="616"/>
      <c r="L352" s="616"/>
    </row>
    <row r="353" spans="2:13" x14ac:dyDescent="0.2">
      <c r="B353" s="596" t="s">
        <v>137</v>
      </c>
      <c r="C353" s="597"/>
      <c r="D353" s="597"/>
      <c r="E353" s="597"/>
      <c r="F353" s="597"/>
      <c r="G353" s="597"/>
      <c r="H353" s="597"/>
      <c r="I353" s="597"/>
      <c r="J353" s="597"/>
      <c r="K353" s="597"/>
      <c r="L353" s="598"/>
    </row>
    <row r="354" spans="2:13" x14ac:dyDescent="0.2">
      <c r="B354" s="599"/>
      <c r="C354" s="383"/>
      <c r="D354" s="383"/>
      <c r="E354" s="383"/>
      <c r="F354" s="383"/>
      <c r="G354" s="383"/>
      <c r="H354" s="383"/>
      <c r="I354" s="383"/>
      <c r="J354" s="383"/>
      <c r="K354" s="383"/>
      <c r="L354" s="600"/>
    </row>
    <row r="355" spans="2:13" x14ac:dyDescent="0.2">
      <c r="B355" s="599"/>
      <c r="C355" s="383"/>
      <c r="D355" s="383"/>
      <c r="E355" s="383"/>
      <c r="F355" s="383"/>
      <c r="G355" s="383"/>
      <c r="H355" s="383"/>
      <c r="I355" s="383"/>
      <c r="J355" s="383"/>
      <c r="K355" s="383"/>
      <c r="L355" s="600"/>
    </row>
    <row r="356" spans="2:13" ht="15" thickBot="1" x14ac:dyDescent="0.25">
      <c r="B356" s="601"/>
      <c r="C356" s="602"/>
      <c r="D356" s="602"/>
      <c r="E356" s="602"/>
      <c r="F356" s="602"/>
      <c r="G356" s="602"/>
      <c r="H356" s="602"/>
      <c r="I356" s="602"/>
      <c r="J356" s="602"/>
      <c r="K356" s="602"/>
      <c r="L356" s="603"/>
    </row>
    <row r="358" spans="2:13" ht="15.75" x14ac:dyDescent="0.25">
      <c r="B358" s="163" t="s">
        <v>188</v>
      </c>
      <c r="H358" s="345" t="s">
        <v>189</v>
      </c>
      <c r="I358" s="345"/>
      <c r="J358" s="345"/>
    </row>
    <row r="359" spans="2:13" x14ac:dyDescent="0.2">
      <c r="H359" s="456"/>
      <c r="I359" s="456"/>
      <c r="J359" s="456"/>
    </row>
    <row r="367" spans="2:13" ht="15" thickBot="1" x14ac:dyDescent="0.25"/>
    <row r="368" spans="2:13" ht="15" thickBot="1" x14ac:dyDescent="0.25">
      <c r="C368" s="164" t="s">
        <v>38</v>
      </c>
      <c r="D368" s="153" t="s">
        <v>39</v>
      </c>
      <c r="L368" s="153"/>
      <c r="M368" s="154" t="s">
        <v>164</v>
      </c>
    </row>
    <row r="369" spans="3:13" ht="15.75" thickTop="1" thickBot="1" x14ac:dyDescent="0.25">
      <c r="C369" s="165" t="s">
        <v>54</v>
      </c>
      <c r="D369" s="156">
        <v>1</v>
      </c>
      <c r="L369" s="156"/>
      <c r="M369" s="157" t="s">
        <v>165</v>
      </c>
    </row>
    <row r="370" spans="3:13" ht="25.5" thickTop="1" thickBot="1" x14ac:dyDescent="0.25">
      <c r="C370" s="165" t="s">
        <v>40</v>
      </c>
      <c r="D370" s="156" t="s">
        <v>253</v>
      </c>
      <c r="L370" s="156"/>
      <c r="M370" s="157" t="s">
        <v>166</v>
      </c>
    </row>
    <row r="371" spans="3:13" ht="15.75" thickTop="1" thickBot="1" x14ac:dyDescent="0.25">
      <c r="C371" s="165" t="s">
        <v>42</v>
      </c>
      <c r="D371" s="177">
        <v>45068</v>
      </c>
      <c r="L371" s="156"/>
      <c r="M371" s="157" t="s">
        <v>167</v>
      </c>
    </row>
    <row r="372" spans="3:13" ht="17.25" thickTop="1" thickBot="1" x14ac:dyDescent="0.3">
      <c r="C372" s="166" t="s">
        <v>43</v>
      </c>
      <c r="D372" s="253">
        <v>0.45833333333333331</v>
      </c>
      <c r="G372" s="581" t="s">
        <v>307</v>
      </c>
      <c r="H372" s="581"/>
      <c r="I372" s="581"/>
      <c r="L372" s="159"/>
      <c r="M372" s="160" t="s">
        <v>169</v>
      </c>
    </row>
    <row r="373" spans="3:13" ht="15" x14ac:dyDescent="0.25">
      <c r="G373" s="617" t="s">
        <v>192</v>
      </c>
      <c r="H373" s="456"/>
      <c r="I373" s="456"/>
    </row>
    <row r="374" spans="3:13" ht="15" thickBot="1" x14ac:dyDescent="0.25"/>
    <row r="375" spans="3:13" x14ac:dyDescent="0.2">
      <c r="C375" s="565" t="s">
        <v>193</v>
      </c>
      <c r="D375" s="583" t="s">
        <v>172</v>
      </c>
      <c r="E375" s="583" t="s">
        <v>173</v>
      </c>
      <c r="F375" s="583" t="s">
        <v>174</v>
      </c>
      <c r="G375" s="585" t="s">
        <v>175</v>
      </c>
      <c r="H375" s="586"/>
      <c r="I375" s="586"/>
      <c r="J375" s="586"/>
      <c r="K375" s="586"/>
      <c r="L375" s="586"/>
      <c r="M375" s="583"/>
    </row>
    <row r="376" spans="3:13" ht="15" thickBot="1" x14ac:dyDescent="0.25">
      <c r="C376" s="566"/>
      <c r="D376" s="584"/>
      <c r="E376" s="584"/>
      <c r="F376" s="584"/>
      <c r="G376" s="587"/>
      <c r="H376" s="588"/>
      <c r="I376" s="588"/>
      <c r="J376" s="588"/>
      <c r="K376" s="588"/>
      <c r="L376" s="588"/>
      <c r="M376" s="584"/>
    </row>
    <row r="377" spans="3:13" x14ac:dyDescent="0.2">
      <c r="C377" s="612">
        <v>1</v>
      </c>
      <c r="D377" s="563">
        <v>0</v>
      </c>
      <c r="E377" s="576"/>
      <c r="F377" s="576"/>
      <c r="G377" s="576"/>
      <c r="H377" s="576"/>
      <c r="I377" s="576"/>
      <c r="J377" s="576"/>
      <c r="K377" s="576"/>
      <c r="L377" s="576"/>
      <c r="M377" s="576"/>
    </row>
    <row r="378" spans="3:13" ht="15" thickBot="1" x14ac:dyDescent="0.25">
      <c r="C378" s="613"/>
      <c r="D378" s="564"/>
      <c r="E378" s="616"/>
      <c r="F378" s="616"/>
      <c r="G378" s="616"/>
      <c r="H378" s="616"/>
      <c r="I378" s="616"/>
      <c r="J378" s="616"/>
      <c r="K378" s="616"/>
      <c r="L378" s="616"/>
      <c r="M378" s="616"/>
    </row>
    <row r="379" spans="3:13" x14ac:dyDescent="0.2">
      <c r="C379" s="612">
        <v>2</v>
      </c>
      <c r="D379" s="563">
        <v>0</v>
      </c>
      <c r="E379" s="575"/>
      <c r="F379" s="576"/>
      <c r="G379" s="620"/>
      <c r="H379" s="576"/>
      <c r="I379" s="576"/>
      <c r="J379" s="576"/>
      <c r="K379" s="576"/>
      <c r="L379" s="576"/>
      <c r="M379" s="576"/>
    </row>
    <row r="380" spans="3:13" ht="15" thickBot="1" x14ac:dyDescent="0.25">
      <c r="C380" s="613"/>
      <c r="D380" s="564"/>
      <c r="E380" s="568"/>
      <c r="F380" s="616"/>
      <c r="G380" s="616"/>
      <c r="H380" s="616"/>
      <c r="I380" s="616"/>
      <c r="J380" s="616"/>
      <c r="K380" s="616"/>
      <c r="L380" s="616"/>
      <c r="M380" s="616"/>
    </row>
    <row r="381" spans="3:13" x14ac:dyDescent="0.2">
      <c r="C381" s="612">
        <v>3</v>
      </c>
      <c r="D381" s="563">
        <v>0</v>
      </c>
      <c r="E381" s="576"/>
      <c r="F381" s="606"/>
      <c r="G381" s="576"/>
      <c r="H381" s="576"/>
      <c r="I381" s="576"/>
      <c r="J381" s="576"/>
      <c r="K381" s="576"/>
      <c r="L381" s="576"/>
      <c r="M381" s="576"/>
    </row>
    <row r="382" spans="3:13" ht="15" thickBot="1" x14ac:dyDescent="0.25">
      <c r="C382" s="613"/>
      <c r="D382" s="564"/>
      <c r="E382" s="616"/>
      <c r="F382" s="607"/>
      <c r="G382" s="616"/>
      <c r="H382" s="616"/>
      <c r="I382" s="616"/>
      <c r="J382" s="616"/>
      <c r="K382" s="616"/>
      <c r="L382" s="616"/>
      <c r="M382" s="616"/>
    </row>
    <row r="383" spans="3:13" x14ac:dyDescent="0.2">
      <c r="C383" s="612">
        <v>4</v>
      </c>
      <c r="D383" s="563">
        <v>0</v>
      </c>
      <c r="E383" s="576"/>
      <c r="F383" s="576"/>
      <c r="G383" s="576"/>
      <c r="H383" s="576"/>
      <c r="I383" s="576"/>
      <c r="J383" s="576"/>
      <c r="K383" s="576"/>
      <c r="L383" s="576"/>
      <c r="M383" s="576"/>
    </row>
    <row r="384" spans="3:13" ht="15" thickBot="1" x14ac:dyDescent="0.25">
      <c r="C384" s="613"/>
      <c r="D384" s="564"/>
      <c r="E384" s="616"/>
      <c r="F384" s="616"/>
      <c r="G384" s="616"/>
      <c r="H384" s="616"/>
      <c r="I384" s="616"/>
      <c r="J384" s="616"/>
      <c r="K384" s="616"/>
      <c r="L384" s="616"/>
      <c r="M384" s="616"/>
    </row>
    <row r="385" spans="3:19" x14ac:dyDescent="0.2">
      <c r="C385" s="612">
        <v>5</v>
      </c>
      <c r="D385" s="563"/>
      <c r="E385" s="563">
        <v>0</v>
      </c>
      <c r="F385" s="606"/>
      <c r="G385" s="621"/>
      <c r="H385" s="576"/>
      <c r="I385" s="576"/>
      <c r="J385" s="576"/>
      <c r="K385" s="576"/>
      <c r="L385" s="576"/>
      <c r="M385" s="576"/>
    </row>
    <row r="386" spans="3:19" ht="15" thickBot="1" x14ac:dyDescent="0.25">
      <c r="C386" s="613"/>
      <c r="D386" s="564"/>
      <c r="E386" s="564"/>
      <c r="F386" s="607"/>
      <c r="G386" s="616"/>
      <c r="H386" s="616"/>
      <c r="I386" s="616"/>
      <c r="J386" s="616"/>
      <c r="K386" s="616"/>
      <c r="L386" s="616"/>
      <c r="M386" s="616"/>
    </row>
    <row r="387" spans="3:19" x14ac:dyDescent="0.2">
      <c r="C387" s="612">
        <v>6</v>
      </c>
      <c r="D387" s="563">
        <v>0</v>
      </c>
      <c r="E387" s="576"/>
      <c r="F387" s="606"/>
      <c r="G387" s="620"/>
      <c r="H387" s="576"/>
      <c r="I387" s="576"/>
      <c r="J387" s="576"/>
      <c r="K387" s="576"/>
      <c r="L387" s="576"/>
      <c r="M387" s="576"/>
    </row>
    <row r="388" spans="3:19" ht="15" thickBot="1" x14ac:dyDescent="0.25">
      <c r="C388" s="613"/>
      <c r="D388" s="564"/>
      <c r="E388" s="616"/>
      <c r="F388" s="607"/>
      <c r="G388" s="616"/>
      <c r="H388" s="616"/>
      <c r="I388" s="616"/>
      <c r="J388" s="616"/>
      <c r="K388" s="616"/>
      <c r="L388" s="616"/>
      <c r="M388" s="616"/>
    </row>
    <row r="389" spans="3:19" x14ac:dyDescent="0.2">
      <c r="C389" s="612">
        <v>7</v>
      </c>
      <c r="D389" s="563">
        <v>0</v>
      </c>
      <c r="E389" s="576"/>
      <c r="F389" s="606"/>
      <c r="G389" s="576"/>
      <c r="H389" s="576"/>
      <c r="I389" s="576"/>
      <c r="J389" s="576"/>
      <c r="K389" s="576"/>
      <c r="L389" s="576"/>
      <c r="M389" s="576"/>
    </row>
    <row r="390" spans="3:19" ht="15" thickBot="1" x14ac:dyDescent="0.25">
      <c r="C390" s="613"/>
      <c r="D390" s="564"/>
      <c r="E390" s="616"/>
      <c r="F390" s="607"/>
      <c r="G390" s="616"/>
      <c r="H390" s="616"/>
      <c r="I390" s="616"/>
      <c r="J390" s="616"/>
      <c r="K390" s="616"/>
      <c r="L390" s="616"/>
      <c r="M390" s="616"/>
    </row>
    <row r="391" spans="3:19" x14ac:dyDescent="0.2">
      <c r="C391" s="612">
        <v>8</v>
      </c>
      <c r="D391" s="563">
        <v>0</v>
      </c>
      <c r="E391" s="575"/>
      <c r="F391" s="576"/>
      <c r="G391" s="610"/>
      <c r="H391" s="610"/>
      <c r="I391" s="610"/>
      <c r="J391" s="610"/>
      <c r="K391" s="610"/>
      <c r="L391" s="610"/>
      <c r="M391" s="610"/>
    </row>
    <row r="392" spans="3:19" ht="15" thickBot="1" x14ac:dyDescent="0.25">
      <c r="C392" s="613"/>
      <c r="D392" s="564"/>
      <c r="E392" s="568"/>
      <c r="F392" s="616"/>
      <c r="G392" s="611"/>
      <c r="H392" s="611"/>
      <c r="I392" s="611"/>
      <c r="J392" s="611"/>
      <c r="K392" s="611"/>
      <c r="L392" s="611"/>
      <c r="M392" s="611"/>
    </row>
    <row r="393" spans="3:19" x14ac:dyDescent="0.2">
      <c r="C393" s="612">
        <v>9</v>
      </c>
      <c r="D393" s="563">
        <v>0</v>
      </c>
      <c r="E393" s="576"/>
      <c r="F393" s="576"/>
      <c r="G393" s="576"/>
      <c r="H393" s="576"/>
      <c r="I393" s="576"/>
      <c r="J393" s="576"/>
      <c r="K393" s="576"/>
      <c r="L393" s="576"/>
      <c r="M393" s="576"/>
    </row>
    <row r="394" spans="3:19" ht="15" thickBot="1" x14ac:dyDescent="0.25">
      <c r="C394" s="613"/>
      <c r="D394" s="564"/>
      <c r="E394" s="616"/>
      <c r="F394" s="616"/>
      <c r="G394" s="616"/>
      <c r="H394" s="616"/>
      <c r="I394" s="616"/>
      <c r="J394" s="616"/>
      <c r="K394" s="616"/>
      <c r="L394" s="616"/>
      <c r="M394" s="616"/>
    </row>
    <row r="395" spans="3:19" ht="23.25" x14ac:dyDescent="0.35">
      <c r="C395" s="612">
        <v>10</v>
      </c>
      <c r="D395" s="563">
        <v>0</v>
      </c>
      <c r="E395" s="576"/>
      <c r="F395" s="606"/>
      <c r="G395" s="576"/>
      <c r="H395" s="576"/>
      <c r="I395" s="576"/>
      <c r="J395" s="576"/>
      <c r="K395" s="576"/>
      <c r="L395" s="576"/>
      <c r="M395" s="576"/>
      <c r="S395" s="252"/>
    </row>
    <row r="396" spans="3:19" ht="15" thickBot="1" x14ac:dyDescent="0.25">
      <c r="C396" s="613"/>
      <c r="D396" s="564"/>
      <c r="E396" s="616"/>
      <c r="F396" s="607"/>
      <c r="G396" s="616"/>
      <c r="H396" s="616"/>
      <c r="I396" s="616"/>
      <c r="J396" s="616"/>
      <c r="K396" s="616"/>
      <c r="L396" s="616"/>
      <c r="M396" s="616"/>
    </row>
    <row r="397" spans="3:19" x14ac:dyDescent="0.2">
      <c r="C397" s="612">
        <v>11</v>
      </c>
      <c r="D397" s="563">
        <v>0</v>
      </c>
      <c r="E397" s="576"/>
      <c r="F397" s="576"/>
      <c r="G397" s="576"/>
      <c r="H397" s="576"/>
      <c r="I397" s="576"/>
      <c r="J397" s="576"/>
      <c r="K397" s="576"/>
      <c r="L397" s="576"/>
      <c r="M397" s="576"/>
    </row>
    <row r="398" spans="3:19" ht="15" thickBot="1" x14ac:dyDescent="0.25">
      <c r="C398" s="613"/>
      <c r="D398" s="564"/>
      <c r="E398" s="616"/>
      <c r="F398" s="616"/>
      <c r="G398" s="616"/>
      <c r="H398" s="616"/>
      <c r="I398" s="616"/>
      <c r="J398" s="616"/>
      <c r="K398" s="616"/>
      <c r="L398" s="616"/>
      <c r="M398" s="616"/>
    </row>
    <row r="399" spans="3:19" x14ac:dyDescent="0.2">
      <c r="C399" s="612">
        <v>12</v>
      </c>
      <c r="D399" s="563">
        <v>0</v>
      </c>
      <c r="E399" s="576"/>
      <c r="F399" s="575"/>
      <c r="G399" s="620"/>
      <c r="H399" s="576"/>
      <c r="I399" s="576"/>
      <c r="J399" s="576"/>
      <c r="K399" s="576"/>
      <c r="L399" s="576"/>
      <c r="M399" s="576"/>
    </row>
    <row r="400" spans="3:19" ht="15" thickBot="1" x14ac:dyDescent="0.25">
      <c r="C400" s="613"/>
      <c r="D400" s="564"/>
      <c r="E400" s="616"/>
      <c r="F400" s="568"/>
      <c r="G400" s="616"/>
      <c r="H400" s="616"/>
      <c r="I400" s="616"/>
      <c r="J400" s="616"/>
      <c r="K400" s="616"/>
      <c r="L400" s="616"/>
      <c r="M400" s="616"/>
    </row>
    <row r="401" spans="3:13" x14ac:dyDescent="0.2">
      <c r="C401" s="604">
        <v>1</v>
      </c>
      <c r="D401" s="563">
        <v>0</v>
      </c>
      <c r="E401" s="576"/>
      <c r="F401" s="576"/>
      <c r="G401" s="576"/>
      <c r="H401" s="576"/>
      <c r="I401" s="576"/>
      <c r="J401" s="576"/>
      <c r="K401" s="576"/>
      <c r="L401" s="576"/>
      <c r="M401" s="576"/>
    </row>
    <row r="402" spans="3:13" ht="15" thickBot="1" x14ac:dyDescent="0.25">
      <c r="C402" s="605"/>
      <c r="D402" s="564"/>
      <c r="E402" s="616"/>
      <c r="F402" s="616"/>
      <c r="G402" s="616"/>
      <c r="H402" s="616"/>
      <c r="I402" s="616"/>
      <c r="J402" s="616"/>
      <c r="K402" s="616"/>
      <c r="L402" s="616"/>
      <c r="M402" s="616"/>
    </row>
    <row r="403" spans="3:13" x14ac:dyDescent="0.2">
      <c r="C403" s="604">
        <v>2</v>
      </c>
      <c r="D403" s="563">
        <v>0</v>
      </c>
      <c r="E403" s="576"/>
      <c r="F403" s="576"/>
      <c r="G403" s="576"/>
      <c r="H403" s="576"/>
      <c r="I403" s="576"/>
      <c r="J403" s="576"/>
      <c r="K403" s="576"/>
      <c r="L403" s="576"/>
      <c r="M403" s="576"/>
    </row>
    <row r="404" spans="3:13" ht="15" thickBot="1" x14ac:dyDescent="0.25">
      <c r="C404" s="605"/>
      <c r="D404" s="564"/>
      <c r="E404" s="616"/>
      <c r="F404" s="616"/>
      <c r="G404" s="616"/>
      <c r="H404" s="616"/>
      <c r="I404" s="616"/>
      <c r="J404" s="616"/>
      <c r="K404" s="616"/>
      <c r="L404" s="616"/>
      <c r="M404" s="616"/>
    </row>
    <row r="405" spans="3:13" ht="23.25" customHeight="1" x14ac:dyDescent="0.2">
      <c r="C405" s="604">
        <v>3</v>
      </c>
      <c r="D405" s="282"/>
      <c r="E405" s="282">
        <v>0</v>
      </c>
      <c r="F405" s="576"/>
      <c r="G405" s="576"/>
      <c r="H405" s="576"/>
      <c r="I405" s="576"/>
      <c r="J405" s="576"/>
      <c r="K405" s="576"/>
      <c r="L405" s="576"/>
      <c r="M405" s="576"/>
    </row>
    <row r="406" spans="3:13" ht="9" customHeight="1" thickBot="1" x14ac:dyDescent="0.25">
      <c r="C406" s="605"/>
      <c r="D406" s="237"/>
      <c r="E406" s="334"/>
      <c r="F406" s="616"/>
      <c r="G406" s="616"/>
      <c r="H406" s="616"/>
      <c r="I406" s="616"/>
      <c r="J406" s="616"/>
      <c r="K406" s="616"/>
      <c r="L406" s="616"/>
      <c r="M406" s="616"/>
    </row>
    <row r="407" spans="3:13" ht="14.25" customHeight="1" x14ac:dyDescent="0.2">
      <c r="C407" s="604">
        <v>4</v>
      </c>
      <c r="D407" s="563">
        <v>0</v>
      </c>
      <c r="E407" s="576"/>
      <c r="F407" s="576"/>
      <c r="G407" s="621"/>
      <c r="H407" s="576"/>
      <c r="I407" s="576"/>
      <c r="J407" s="576"/>
      <c r="K407" s="576"/>
      <c r="L407" s="576"/>
      <c r="M407" s="576"/>
    </row>
    <row r="408" spans="3:13" ht="15" thickBot="1" x14ac:dyDescent="0.25">
      <c r="C408" s="605"/>
      <c r="D408" s="564"/>
      <c r="E408" s="616"/>
      <c r="F408" s="616"/>
      <c r="G408" s="616"/>
      <c r="H408" s="616"/>
      <c r="I408" s="616"/>
      <c r="J408" s="616"/>
      <c r="K408" s="616"/>
      <c r="L408" s="616"/>
      <c r="M408" s="616"/>
    </row>
    <row r="409" spans="3:13" x14ac:dyDescent="0.2">
      <c r="C409" s="596" t="s">
        <v>137</v>
      </c>
      <c r="D409" s="597"/>
      <c r="E409" s="597"/>
      <c r="F409" s="597"/>
      <c r="G409" s="597"/>
      <c r="H409" s="597"/>
      <c r="I409" s="597"/>
      <c r="J409" s="597"/>
      <c r="K409" s="597"/>
      <c r="L409" s="597"/>
      <c r="M409" s="598"/>
    </row>
    <row r="410" spans="3:13" x14ac:dyDescent="0.2">
      <c r="C410" s="599"/>
      <c r="D410" s="383"/>
      <c r="E410" s="383"/>
      <c r="F410" s="383"/>
      <c r="G410" s="383"/>
      <c r="H410" s="383"/>
      <c r="I410" s="383"/>
      <c r="J410" s="383"/>
      <c r="K410" s="383"/>
      <c r="L410" s="383"/>
      <c r="M410" s="600"/>
    </row>
    <row r="411" spans="3:13" x14ac:dyDescent="0.2">
      <c r="C411" s="599"/>
      <c r="D411" s="383"/>
      <c r="E411" s="383"/>
      <c r="F411" s="383"/>
      <c r="G411" s="383"/>
      <c r="H411" s="383"/>
      <c r="I411" s="383"/>
      <c r="J411" s="383"/>
      <c r="K411" s="383"/>
      <c r="L411" s="383"/>
      <c r="M411" s="600"/>
    </row>
    <row r="412" spans="3:13" ht="15" thickBot="1" x14ac:dyDescent="0.25">
      <c r="C412" s="601"/>
      <c r="D412" s="602"/>
      <c r="E412" s="602"/>
      <c r="F412" s="602"/>
      <c r="G412" s="602"/>
      <c r="H412" s="602"/>
      <c r="I412" s="602"/>
      <c r="J412" s="602"/>
      <c r="K412" s="602"/>
      <c r="L412" s="602"/>
      <c r="M412" s="603"/>
    </row>
    <row r="414" spans="3:13" ht="15.75" x14ac:dyDescent="0.25">
      <c r="C414" s="163" t="s">
        <v>188</v>
      </c>
      <c r="I414" s="345" t="s">
        <v>189</v>
      </c>
      <c r="J414" s="345"/>
      <c r="K414" s="345"/>
    </row>
    <row r="415" spans="3:13" x14ac:dyDescent="0.2">
      <c r="I415" s="456"/>
      <c r="J415" s="456"/>
      <c r="K415" s="456"/>
    </row>
    <row r="433" spans="1:11" ht="15" thickBot="1" x14ac:dyDescent="0.25"/>
    <row r="434" spans="1:11" ht="15" thickBot="1" x14ac:dyDescent="0.25">
      <c r="A434" s="164" t="s">
        <v>38</v>
      </c>
      <c r="B434" s="153" t="s">
        <v>39</v>
      </c>
      <c r="J434" s="153"/>
      <c r="K434" s="154" t="s">
        <v>164</v>
      </c>
    </row>
    <row r="435" spans="1:11" ht="15.75" thickTop="1" thickBot="1" x14ac:dyDescent="0.25">
      <c r="A435" s="165" t="s">
        <v>54</v>
      </c>
      <c r="B435" s="156">
        <v>1</v>
      </c>
      <c r="J435" s="156"/>
      <c r="K435" s="157" t="s">
        <v>165</v>
      </c>
    </row>
    <row r="436" spans="1:11" ht="25.5" thickTop="1" thickBot="1" x14ac:dyDescent="0.25">
      <c r="A436" s="165" t="s">
        <v>40</v>
      </c>
      <c r="B436" s="156" t="s">
        <v>316</v>
      </c>
      <c r="J436" s="156"/>
      <c r="K436" s="157" t="s">
        <v>166</v>
      </c>
    </row>
    <row r="437" spans="1:11" ht="15.75" thickTop="1" thickBot="1" x14ac:dyDescent="0.25">
      <c r="A437" s="165" t="s">
        <v>42</v>
      </c>
      <c r="B437" s="177"/>
      <c r="J437" s="156"/>
      <c r="K437" s="157" t="s">
        <v>167</v>
      </c>
    </row>
    <row r="438" spans="1:11" ht="17.25" thickTop="1" thickBot="1" x14ac:dyDescent="0.3">
      <c r="A438" s="166" t="s">
        <v>43</v>
      </c>
      <c r="B438" s="253"/>
      <c r="E438" s="581" t="s">
        <v>308</v>
      </c>
      <c r="F438" s="581"/>
      <c r="G438" s="581"/>
      <c r="J438" s="159"/>
      <c r="K438" s="160" t="s">
        <v>169</v>
      </c>
    </row>
    <row r="439" spans="1:11" ht="15" x14ac:dyDescent="0.25">
      <c r="E439" s="617" t="s">
        <v>192</v>
      </c>
      <c r="F439" s="456"/>
      <c r="G439" s="456"/>
    </row>
    <row r="440" spans="1:11" ht="15" thickBot="1" x14ac:dyDescent="0.25"/>
    <row r="441" spans="1:11" x14ac:dyDescent="0.2">
      <c r="A441" s="565" t="s">
        <v>193</v>
      </c>
      <c r="B441" s="583" t="s">
        <v>172</v>
      </c>
      <c r="C441" s="583" t="s">
        <v>173</v>
      </c>
      <c r="D441" s="583" t="s">
        <v>174</v>
      </c>
      <c r="E441" s="585" t="s">
        <v>175</v>
      </c>
      <c r="F441" s="586"/>
      <c r="G441" s="586"/>
      <c r="H441" s="586"/>
      <c r="I441" s="586"/>
      <c r="J441" s="586"/>
      <c r="K441" s="583"/>
    </row>
    <row r="442" spans="1:11" ht="15" thickBot="1" x14ac:dyDescent="0.25">
      <c r="A442" s="566"/>
      <c r="B442" s="584"/>
      <c r="C442" s="584"/>
      <c r="D442" s="584"/>
      <c r="E442" s="587"/>
      <c r="F442" s="588"/>
      <c r="G442" s="588"/>
      <c r="H442" s="588"/>
      <c r="I442" s="588"/>
      <c r="J442" s="588"/>
      <c r="K442" s="584"/>
    </row>
    <row r="443" spans="1:11" x14ac:dyDescent="0.2">
      <c r="A443" s="618">
        <v>1</v>
      </c>
      <c r="B443" s="606"/>
      <c r="C443" s="576"/>
      <c r="D443" s="576"/>
      <c r="E443" s="576"/>
      <c r="F443" s="576"/>
      <c r="G443" s="576"/>
      <c r="H443" s="576"/>
      <c r="I443" s="576"/>
      <c r="J443" s="576"/>
      <c r="K443" s="576"/>
    </row>
    <row r="444" spans="1:11" ht="15" thickBot="1" x14ac:dyDescent="0.25">
      <c r="A444" s="619"/>
      <c r="B444" s="607"/>
      <c r="C444" s="616"/>
      <c r="D444" s="616"/>
      <c r="E444" s="616"/>
      <c r="F444" s="616"/>
      <c r="G444" s="616"/>
      <c r="H444" s="616"/>
      <c r="I444" s="616"/>
      <c r="J444" s="616"/>
      <c r="K444" s="616"/>
    </row>
    <row r="445" spans="1:11" x14ac:dyDescent="0.2">
      <c r="A445" s="618">
        <v>2</v>
      </c>
      <c r="B445" s="606"/>
      <c r="C445" s="575"/>
      <c r="D445" s="576"/>
      <c r="E445" s="620"/>
      <c r="F445" s="576"/>
      <c r="G445" s="576"/>
      <c r="H445" s="576"/>
      <c r="I445" s="576"/>
      <c r="J445" s="576"/>
      <c r="K445" s="576"/>
    </row>
    <row r="446" spans="1:11" ht="15" thickBot="1" x14ac:dyDescent="0.25">
      <c r="A446" s="619"/>
      <c r="B446" s="607"/>
      <c r="C446" s="568"/>
      <c r="D446" s="616"/>
      <c r="E446" s="616"/>
      <c r="F446" s="616"/>
      <c r="G446" s="616"/>
      <c r="H446" s="616"/>
      <c r="I446" s="616"/>
      <c r="J446" s="616"/>
      <c r="K446" s="616"/>
    </row>
    <row r="447" spans="1:11" x14ac:dyDescent="0.2">
      <c r="A447" s="618">
        <v>3</v>
      </c>
      <c r="B447" s="575"/>
      <c r="C447" s="576"/>
      <c r="D447" s="606"/>
      <c r="E447" s="621"/>
      <c r="F447" s="576"/>
      <c r="G447" s="576"/>
      <c r="H447" s="576"/>
      <c r="I447" s="576"/>
      <c r="J447" s="576"/>
      <c r="K447" s="576"/>
    </row>
    <row r="448" spans="1:11" ht="15" thickBot="1" x14ac:dyDescent="0.25">
      <c r="A448" s="619"/>
      <c r="B448" s="568"/>
      <c r="C448" s="616"/>
      <c r="D448" s="607"/>
      <c r="E448" s="616"/>
      <c r="F448" s="616"/>
      <c r="G448" s="616"/>
      <c r="H448" s="616"/>
      <c r="I448" s="616"/>
      <c r="J448" s="616"/>
      <c r="K448" s="616"/>
    </row>
    <row r="449" spans="1:11" x14ac:dyDescent="0.2">
      <c r="A449" s="618">
        <v>4</v>
      </c>
      <c r="B449" s="606"/>
      <c r="C449" s="576"/>
      <c r="D449" s="576"/>
      <c r="E449" s="576"/>
      <c r="F449" s="576"/>
      <c r="G449" s="576"/>
      <c r="H449" s="576"/>
      <c r="I449" s="576"/>
      <c r="J449" s="576"/>
      <c r="K449" s="576"/>
    </row>
    <row r="450" spans="1:11" ht="15" thickBot="1" x14ac:dyDescent="0.25">
      <c r="A450" s="619"/>
      <c r="B450" s="607"/>
      <c r="C450" s="616"/>
      <c r="D450" s="616"/>
      <c r="E450" s="616"/>
      <c r="F450" s="616"/>
      <c r="G450" s="616"/>
      <c r="H450" s="616"/>
      <c r="I450" s="616"/>
      <c r="J450" s="616"/>
      <c r="K450" s="616"/>
    </row>
    <row r="451" spans="1:11" x14ac:dyDescent="0.2">
      <c r="A451" s="618">
        <v>5</v>
      </c>
      <c r="B451" s="575"/>
      <c r="C451" s="576"/>
      <c r="D451" s="606"/>
      <c r="E451" s="576"/>
      <c r="F451" s="576"/>
      <c r="G451" s="576"/>
      <c r="H451" s="576"/>
      <c r="I451" s="576"/>
      <c r="J451" s="576"/>
      <c r="K451" s="576"/>
    </row>
    <row r="452" spans="1:11" ht="15" thickBot="1" x14ac:dyDescent="0.25">
      <c r="A452" s="619"/>
      <c r="B452" s="568"/>
      <c r="C452" s="616"/>
      <c r="D452" s="607"/>
      <c r="E452" s="616"/>
      <c r="F452" s="616"/>
      <c r="G452" s="616"/>
      <c r="H452" s="616"/>
      <c r="I452" s="616"/>
      <c r="J452" s="616"/>
      <c r="K452" s="616"/>
    </row>
    <row r="453" spans="1:11" x14ac:dyDescent="0.2">
      <c r="A453" s="618">
        <v>6</v>
      </c>
      <c r="B453" s="606"/>
      <c r="C453" s="576"/>
      <c r="D453" s="606"/>
      <c r="E453" s="620"/>
      <c r="F453" s="576"/>
      <c r="G453" s="576"/>
      <c r="H453" s="576"/>
      <c r="I453" s="576"/>
      <c r="J453" s="576"/>
      <c r="K453" s="576"/>
    </row>
    <row r="454" spans="1:11" ht="15" thickBot="1" x14ac:dyDescent="0.25">
      <c r="A454" s="619"/>
      <c r="B454" s="607"/>
      <c r="C454" s="616"/>
      <c r="D454" s="607"/>
      <c r="E454" s="616"/>
      <c r="F454" s="616"/>
      <c r="G454" s="616"/>
      <c r="H454" s="616"/>
      <c r="I454" s="616"/>
      <c r="J454" s="616"/>
      <c r="K454" s="616"/>
    </row>
    <row r="455" spans="1:11" x14ac:dyDescent="0.2">
      <c r="A455" s="618">
        <v>7</v>
      </c>
      <c r="B455" s="575"/>
      <c r="C455" s="576"/>
      <c r="D455" s="606"/>
      <c r="E455" s="576"/>
      <c r="F455" s="576"/>
      <c r="G455" s="576"/>
      <c r="H455" s="576"/>
      <c r="I455" s="576"/>
      <c r="J455" s="576"/>
      <c r="K455" s="576"/>
    </row>
    <row r="456" spans="1:11" ht="15" thickBot="1" x14ac:dyDescent="0.25">
      <c r="A456" s="619"/>
      <c r="B456" s="568"/>
      <c r="C456" s="616"/>
      <c r="D456" s="607"/>
      <c r="E456" s="616"/>
      <c r="F456" s="616"/>
      <c r="G456" s="616"/>
      <c r="H456" s="616"/>
      <c r="I456" s="616"/>
      <c r="J456" s="616"/>
      <c r="K456" s="616"/>
    </row>
    <row r="457" spans="1:11" x14ac:dyDescent="0.2">
      <c r="A457" s="618">
        <v>8</v>
      </c>
      <c r="B457" s="606"/>
      <c r="C457" s="575"/>
      <c r="D457" s="576"/>
      <c r="E457" s="610"/>
      <c r="F457" s="610"/>
      <c r="G457" s="610"/>
      <c r="H457" s="610"/>
      <c r="I457" s="610"/>
      <c r="J457" s="610"/>
      <c r="K457" s="610"/>
    </row>
    <row r="458" spans="1:11" ht="15" thickBot="1" x14ac:dyDescent="0.25">
      <c r="A458" s="619"/>
      <c r="B458" s="607"/>
      <c r="C458" s="568"/>
      <c r="D458" s="616"/>
      <c r="E458" s="611"/>
      <c r="F458" s="611"/>
      <c r="G458" s="611"/>
      <c r="H458" s="611"/>
      <c r="I458" s="611"/>
      <c r="J458" s="611"/>
      <c r="K458" s="611"/>
    </row>
    <row r="459" spans="1:11" x14ac:dyDescent="0.2">
      <c r="A459" s="618">
        <v>9</v>
      </c>
      <c r="B459" s="606"/>
      <c r="C459" s="576"/>
      <c r="D459" s="576"/>
      <c r="E459" s="576"/>
      <c r="F459" s="576"/>
      <c r="G459" s="576"/>
      <c r="H459" s="576"/>
      <c r="I459" s="576"/>
      <c r="J459" s="576"/>
      <c r="K459" s="576"/>
    </row>
    <row r="460" spans="1:11" ht="15" thickBot="1" x14ac:dyDescent="0.25">
      <c r="A460" s="619"/>
      <c r="B460" s="607"/>
      <c r="C460" s="616"/>
      <c r="D460" s="616"/>
      <c r="E460" s="616"/>
      <c r="F460" s="616"/>
      <c r="G460" s="616"/>
      <c r="H460" s="616"/>
      <c r="I460" s="616"/>
      <c r="J460" s="616"/>
      <c r="K460" s="616"/>
    </row>
    <row r="461" spans="1:11" x14ac:dyDescent="0.2">
      <c r="A461" s="618">
        <v>10</v>
      </c>
      <c r="B461" s="575"/>
      <c r="C461" s="576"/>
      <c r="D461" s="606"/>
      <c r="E461" s="576"/>
      <c r="F461" s="576"/>
      <c r="G461" s="576"/>
      <c r="H461" s="576"/>
      <c r="I461" s="576"/>
      <c r="J461" s="576"/>
      <c r="K461" s="576"/>
    </row>
    <row r="462" spans="1:11" ht="15" thickBot="1" x14ac:dyDescent="0.25">
      <c r="A462" s="619"/>
      <c r="B462" s="568"/>
      <c r="C462" s="616"/>
      <c r="D462" s="607"/>
      <c r="E462" s="616"/>
      <c r="F462" s="616"/>
      <c r="G462" s="616"/>
      <c r="H462" s="616"/>
      <c r="I462" s="616"/>
      <c r="J462" s="616"/>
      <c r="K462" s="616"/>
    </row>
    <row r="463" spans="1:11" x14ac:dyDescent="0.2">
      <c r="A463" s="618">
        <v>11</v>
      </c>
      <c r="B463" s="606"/>
      <c r="C463" s="576"/>
      <c r="D463" s="576"/>
      <c r="E463" s="576"/>
      <c r="F463" s="576"/>
      <c r="G463" s="576"/>
      <c r="H463" s="576"/>
      <c r="I463" s="576"/>
      <c r="J463" s="576"/>
      <c r="K463" s="576"/>
    </row>
    <row r="464" spans="1:11" ht="15" thickBot="1" x14ac:dyDescent="0.25">
      <c r="A464" s="619"/>
      <c r="B464" s="607"/>
      <c r="C464" s="616"/>
      <c r="D464" s="616"/>
      <c r="E464" s="616"/>
      <c r="F464" s="616"/>
      <c r="G464" s="616"/>
      <c r="H464" s="616"/>
      <c r="I464" s="616"/>
      <c r="J464" s="616"/>
      <c r="K464" s="616"/>
    </row>
    <row r="465" spans="1:11" x14ac:dyDescent="0.2">
      <c r="A465" s="618">
        <v>12</v>
      </c>
      <c r="B465" s="606"/>
      <c r="C465" s="576"/>
      <c r="D465" s="575"/>
      <c r="E465" s="620"/>
      <c r="F465" s="576"/>
      <c r="G465" s="576"/>
      <c r="H465" s="576"/>
      <c r="I465" s="576"/>
      <c r="J465" s="576"/>
      <c r="K465" s="576"/>
    </row>
    <row r="466" spans="1:11" ht="15" thickBot="1" x14ac:dyDescent="0.25">
      <c r="A466" s="619"/>
      <c r="B466" s="607"/>
      <c r="C466" s="616"/>
      <c r="D466" s="568"/>
      <c r="E466" s="616"/>
      <c r="F466" s="616"/>
      <c r="G466" s="616"/>
      <c r="H466" s="616"/>
      <c r="I466" s="616"/>
      <c r="J466" s="616"/>
      <c r="K466" s="616"/>
    </row>
    <row r="467" spans="1:11" x14ac:dyDescent="0.2">
      <c r="A467" s="618">
        <v>13</v>
      </c>
      <c r="B467" s="606"/>
      <c r="C467" s="576"/>
      <c r="D467" s="576"/>
      <c r="E467" s="576"/>
      <c r="F467" s="576"/>
      <c r="G467" s="576"/>
      <c r="H467" s="576"/>
      <c r="I467" s="576"/>
      <c r="J467" s="576"/>
      <c r="K467" s="576"/>
    </row>
    <row r="468" spans="1:11" ht="15" thickBot="1" x14ac:dyDescent="0.25">
      <c r="A468" s="619"/>
      <c r="B468" s="607"/>
      <c r="C468" s="616"/>
      <c r="D468" s="616"/>
      <c r="E468" s="616"/>
      <c r="F468" s="616"/>
      <c r="G468" s="616"/>
      <c r="H468" s="616"/>
      <c r="I468" s="616"/>
      <c r="J468" s="616"/>
      <c r="K468" s="616"/>
    </row>
    <row r="469" spans="1:11" x14ac:dyDescent="0.2">
      <c r="A469" s="618">
        <v>14</v>
      </c>
      <c r="B469" s="606"/>
      <c r="C469" s="576"/>
      <c r="D469" s="576"/>
      <c r="E469" s="576"/>
      <c r="F469" s="576"/>
      <c r="G469" s="576"/>
      <c r="H469" s="576"/>
      <c r="I469" s="576"/>
      <c r="J469" s="576"/>
      <c r="K469" s="576"/>
    </row>
    <row r="470" spans="1:11" ht="15" thickBot="1" x14ac:dyDescent="0.25">
      <c r="A470" s="619"/>
      <c r="B470" s="607"/>
      <c r="C470" s="616"/>
      <c r="D470" s="616"/>
      <c r="E470" s="616"/>
      <c r="F470" s="616"/>
      <c r="G470" s="616"/>
      <c r="H470" s="616"/>
      <c r="I470" s="616"/>
      <c r="J470" s="616"/>
      <c r="K470" s="616"/>
    </row>
    <row r="471" spans="1:11" x14ac:dyDescent="0.2">
      <c r="A471" s="618">
        <v>15</v>
      </c>
      <c r="B471" s="606"/>
      <c r="C471" s="576"/>
      <c r="D471" s="576"/>
      <c r="E471" s="576"/>
      <c r="F471" s="576"/>
      <c r="G471" s="576"/>
      <c r="H471" s="576"/>
      <c r="I471" s="576"/>
      <c r="J471" s="576"/>
      <c r="K471" s="576"/>
    </row>
    <row r="472" spans="1:11" ht="15" thickBot="1" x14ac:dyDescent="0.25">
      <c r="A472" s="619"/>
      <c r="B472" s="607"/>
      <c r="C472" s="616"/>
      <c r="D472" s="616"/>
      <c r="E472" s="616"/>
      <c r="F472" s="616"/>
      <c r="G472" s="616"/>
      <c r="H472" s="616"/>
      <c r="I472" s="616"/>
      <c r="J472" s="616"/>
      <c r="K472" s="616"/>
    </row>
    <row r="473" spans="1:11" x14ac:dyDescent="0.2">
      <c r="A473" s="618">
        <v>16</v>
      </c>
      <c r="B473" s="606"/>
      <c r="C473" s="576"/>
      <c r="D473" s="576"/>
      <c r="E473" s="576"/>
      <c r="F473" s="576"/>
      <c r="G473" s="576"/>
      <c r="H473" s="576"/>
      <c r="I473" s="576"/>
      <c r="J473" s="576"/>
      <c r="K473" s="576"/>
    </row>
    <row r="474" spans="1:11" ht="15" thickBot="1" x14ac:dyDescent="0.25">
      <c r="A474" s="619"/>
      <c r="B474" s="607"/>
      <c r="C474" s="616"/>
      <c r="D474" s="616"/>
      <c r="E474" s="616"/>
      <c r="F474" s="616"/>
      <c r="G474" s="616"/>
      <c r="H474" s="616"/>
      <c r="I474" s="616"/>
      <c r="J474" s="616"/>
      <c r="K474" s="616"/>
    </row>
    <row r="475" spans="1:11" x14ac:dyDescent="0.2">
      <c r="A475" s="596" t="s">
        <v>137</v>
      </c>
      <c r="B475" s="597"/>
      <c r="C475" s="597"/>
      <c r="D475" s="597"/>
      <c r="E475" s="597"/>
      <c r="F475" s="597"/>
      <c r="G475" s="597"/>
      <c r="H475" s="597"/>
      <c r="I475" s="597"/>
      <c r="J475" s="597"/>
      <c r="K475" s="598"/>
    </row>
    <row r="476" spans="1:11" x14ac:dyDescent="0.2">
      <c r="A476" s="599"/>
      <c r="B476" s="383"/>
      <c r="C476" s="383"/>
      <c r="D476" s="383"/>
      <c r="E476" s="383"/>
      <c r="F476" s="383"/>
      <c r="G476" s="383"/>
      <c r="H476" s="383"/>
      <c r="I476" s="383"/>
      <c r="J476" s="383"/>
      <c r="K476" s="600"/>
    </row>
    <row r="477" spans="1:11" x14ac:dyDescent="0.2">
      <c r="A477" s="599"/>
      <c r="B477" s="383"/>
      <c r="C477" s="383"/>
      <c r="D477" s="383"/>
      <c r="E477" s="383"/>
      <c r="F477" s="383"/>
      <c r="G477" s="383"/>
      <c r="H477" s="383"/>
      <c r="I477" s="383"/>
      <c r="J477" s="383"/>
      <c r="K477" s="600"/>
    </row>
    <row r="478" spans="1:11" ht="15" thickBot="1" x14ac:dyDescent="0.25">
      <c r="A478" s="601"/>
      <c r="B478" s="602"/>
      <c r="C478" s="602"/>
      <c r="D478" s="602"/>
      <c r="E478" s="602"/>
      <c r="F478" s="602"/>
      <c r="G478" s="602"/>
      <c r="H478" s="602"/>
      <c r="I478" s="602"/>
      <c r="J478" s="602"/>
      <c r="K478" s="603"/>
    </row>
    <row r="480" spans="1:11" ht="15.75" x14ac:dyDescent="0.25">
      <c r="A480" s="163" t="s">
        <v>188</v>
      </c>
      <c r="G480" s="345" t="s">
        <v>189</v>
      </c>
      <c r="H480" s="345"/>
      <c r="I480" s="345"/>
    </row>
    <row r="481" spans="1:9" x14ac:dyDescent="0.2">
      <c r="G481" s="456"/>
      <c r="H481" s="456"/>
      <c r="I481" s="456"/>
    </row>
    <row r="482" spans="1:9" x14ac:dyDescent="0.2">
      <c r="A482" t="s">
        <v>108</v>
      </c>
      <c r="G482" s="456"/>
      <c r="H482" s="456"/>
      <c r="I482" s="456"/>
    </row>
    <row r="483" spans="1:9" x14ac:dyDescent="0.2">
      <c r="G483" s="456"/>
      <c r="H483" s="456"/>
      <c r="I483" s="456"/>
    </row>
    <row r="484" spans="1:9" x14ac:dyDescent="0.2">
      <c r="A484" t="s">
        <v>194</v>
      </c>
      <c r="G484" s="456"/>
      <c r="H484" s="456"/>
      <c r="I484" s="456"/>
    </row>
    <row r="502" spans="1:11" ht="15" thickBot="1" x14ac:dyDescent="0.25"/>
    <row r="503" spans="1:11" ht="15" thickBot="1" x14ac:dyDescent="0.25">
      <c r="A503" s="164" t="s">
        <v>38</v>
      </c>
      <c r="B503" s="153" t="s">
        <v>39</v>
      </c>
      <c r="J503" s="153"/>
      <c r="K503" s="154" t="s">
        <v>164</v>
      </c>
    </row>
    <row r="504" spans="1:11" ht="15.75" thickTop="1" thickBot="1" x14ac:dyDescent="0.25">
      <c r="A504" s="165" t="s">
        <v>54</v>
      </c>
      <c r="B504" s="156">
        <v>1</v>
      </c>
      <c r="J504" s="156"/>
      <c r="K504" s="157" t="s">
        <v>165</v>
      </c>
    </row>
    <row r="505" spans="1:11" ht="25.5" thickTop="1" thickBot="1" x14ac:dyDescent="0.25">
      <c r="A505" s="165" t="s">
        <v>40</v>
      </c>
      <c r="B505" s="156" t="s">
        <v>253</v>
      </c>
      <c r="J505" s="156"/>
      <c r="K505" s="157" t="s">
        <v>166</v>
      </c>
    </row>
    <row r="506" spans="1:11" ht="15.75" thickTop="1" thickBot="1" x14ac:dyDescent="0.25">
      <c r="A506" s="165" t="s">
        <v>42</v>
      </c>
      <c r="B506" s="177"/>
      <c r="J506" s="156"/>
      <c r="K506" s="157" t="s">
        <v>167</v>
      </c>
    </row>
    <row r="507" spans="1:11" ht="17.25" thickTop="1" thickBot="1" x14ac:dyDescent="0.3">
      <c r="A507" s="166" t="s">
        <v>43</v>
      </c>
      <c r="B507" s="159"/>
      <c r="E507" s="581" t="s">
        <v>308</v>
      </c>
      <c r="F507" s="581"/>
      <c r="G507" s="581"/>
      <c r="J507" s="159"/>
      <c r="K507" s="160" t="s">
        <v>169</v>
      </c>
    </row>
    <row r="508" spans="1:11" ht="15" x14ac:dyDescent="0.25">
      <c r="E508" s="617" t="s">
        <v>192</v>
      </c>
      <c r="F508" s="456"/>
      <c r="G508" s="456"/>
    </row>
    <row r="509" spans="1:11" ht="15" thickBot="1" x14ac:dyDescent="0.25"/>
    <row r="510" spans="1:11" x14ac:dyDescent="0.2">
      <c r="A510" s="565" t="s">
        <v>193</v>
      </c>
      <c r="B510" s="583" t="s">
        <v>172</v>
      </c>
      <c r="C510" s="583" t="s">
        <v>173</v>
      </c>
      <c r="D510" s="583" t="s">
        <v>174</v>
      </c>
      <c r="E510" s="585" t="s">
        <v>175</v>
      </c>
      <c r="F510" s="586"/>
      <c r="G510" s="586"/>
      <c r="H510" s="586"/>
      <c r="I510" s="586"/>
      <c r="J510" s="586"/>
      <c r="K510" s="583"/>
    </row>
    <row r="511" spans="1:11" ht="15" thickBot="1" x14ac:dyDescent="0.25">
      <c r="A511" s="566"/>
      <c r="B511" s="584"/>
      <c r="C511" s="584"/>
      <c r="D511" s="584"/>
      <c r="E511" s="587"/>
      <c r="F511" s="588"/>
      <c r="G511" s="588"/>
      <c r="H511" s="588"/>
      <c r="I511" s="588"/>
      <c r="J511" s="588"/>
      <c r="K511" s="584"/>
    </row>
    <row r="512" spans="1:11" x14ac:dyDescent="0.2">
      <c r="A512" s="612">
        <v>1</v>
      </c>
      <c r="B512" s="606"/>
      <c r="C512" s="576"/>
      <c r="D512" s="576"/>
      <c r="E512" s="576"/>
      <c r="F512" s="576"/>
      <c r="G512" s="576"/>
      <c r="H512" s="576"/>
      <c r="I512" s="576"/>
      <c r="J512" s="576"/>
      <c r="K512" s="576"/>
    </row>
    <row r="513" spans="1:11" ht="15" thickBot="1" x14ac:dyDescent="0.25">
      <c r="A513" s="613"/>
      <c r="B513" s="607"/>
      <c r="C513" s="616"/>
      <c r="D513" s="616"/>
      <c r="E513" s="616"/>
      <c r="F513" s="616"/>
      <c r="G513" s="616"/>
      <c r="H513" s="616"/>
      <c r="I513" s="616"/>
      <c r="J513" s="616"/>
      <c r="K513" s="616"/>
    </row>
    <row r="514" spans="1:11" x14ac:dyDescent="0.2">
      <c r="A514" s="612">
        <v>2</v>
      </c>
      <c r="B514" s="606"/>
      <c r="C514" s="606"/>
      <c r="D514" s="608"/>
      <c r="E514" s="610"/>
      <c r="F514" s="610"/>
      <c r="G514" s="610"/>
      <c r="H514" s="610"/>
      <c r="I514" s="610"/>
      <c r="J514" s="610"/>
      <c r="K514" s="610"/>
    </row>
    <row r="515" spans="1:11" ht="15" thickBot="1" x14ac:dyDescent="0.25">
      <c r="A515" s="613"/>
      <c r="B515" s="607"/>
      <c r="C515" s="607"/>
      <c r="D515" s="609"/>
      <c r="E515" s="611"/>
      <c r="F515" s="611"/>
      <c r="G515" s="611"/>
      <c r="H515" s="611"/>
      <c r="I515" s="611"/>
      <c r="J515" s="611"/>
      <c r="K515" s="611"/>
    </row>
    <row r="516" spans="1:11" x14ac:dyDescent="0.2">
      <c r="A516" s="612">
        <v>3</v>
      </c>
      <c r="B516" s="606"/>
      <c r="C516" s="606"/>
      <c r="D516" s="606"/>
      <c r="E516" s="610"/>
      <c r="F516" s="610"/>
      <c r="G516" s="610"/>
      <c r="H516" s="610"/>
      <c r="I516" s="610"/>
      <c r="J516" s="610"/>
      <c r="K516" s="610"/>
    </row>
    <row r="517" spans="1:11" ht="15" thickBot="1" x14ac:dyDescent="0.25">
      <c r="A517" s="613"/>
      <c r="B517" s="607"/>
      <c r="C517" s="607"/>
      <c r="D517" s="607"/>
      <c r="E517" s="611"/>
      <c r="F517" s="611"/>
      <c r="G517" s="611"/>
      <c r="H517" s="611"/>
      <c r="I517" s="611"/>
      <c r="J517" s="611"/>
      <c r="K517" s="611"/>
    </row>
    <row r="518" spans="1:11" x14ac:dyDescent="0.2">
      <c r="A518" s="612">
        <v>4</v>
      </c>
      <c r="B518" s="606"/>
      <c r="C518" s="606"/>
      <c r="D518" s="606"/>
      <c r="E518" s="610"/>
      <c r="F518" s="610"/>
      <c r="G518" s="610"/>
      <c r="H518" s="610"/>
      <c r="I518" s="610"/>
      <c r="J518" s="610"/>
      <c r="K518" s="610"/>
    </row>
    <row r="519" spans="1:11" ht="15" thickBot="1" x14ac:dyDescent="0.25">
      <c r="A519" s="613"/>
      <c r="B519" s="607"/>
      <c r="C519" s="607"/>
      <c r="D519" s="607"/>
      <c r="E519" s="611"/>
      <c r="F519" s="611"/>
      <c r="G519" s="611"/>
      <c r="H519" s="611"/>
      <c r="I519" s="611"/>
      <c r="J519" s="611"/>
      <c r="K519" s="611"/>
    </row>
    <row r="520" spans="1:11" x14ac:dyDescent="0.2">
      <c r="A520" s="612">
        <v>5</v>
      </c>
      <c r="B520" s="606"/>
      <c r="C520" s="608"/>
      <c r="D520" s="608"/>
      <c r="E520" s="610"/>
      <c r="F520" s="610"/>
      <c r="G520" s="610"/>
      <c r="H520" s="610"/>
      <c r="I520" s="610"/>
      <c r="J520" s="610"/>
      <c r="K520" s="610"/>
    </row>
    <row r="521" spans="1:11" ht="15" thickBot="1" x14ac:dyDescent="0.25">
      <c r="A521" s="613"/>
      <c r="B521" s="607"/>
      <c r="C521" s="609"/>
      <c r="D521" s="609"/>
      <c r="E521" s="611"/>
      <c r="F521" s="611"/>
      <c r="G521" s="611"/>
      <c r="H521" s="611"/>
      <c r="I521" s="611"/>
      <c r="J521" s="611"/>
      <c r="K521" s="611"/>
    </row>
    <row r="522" spans="1:11" x14ac:dyDescent="0.2">
      <c r="A522" s="612">
        <v>6</v>
      </c>
      <c r="B522" s="606"/>
      <c r="C522" s="606"/>
      <c r="D522" s="606"/>
      <c r="E522" s="610"/>
      <c r="F522" s="610"/>
      <c r="G522" s="610"/>
      <c r="H522" s="610"/>
      <c r="I522" s="610"/>
      <c r="J522" s="610"/>
      <c r="K522" s="610"/>
    </row>
    <row r="523" spans="1:11" ht="15" thickBot="1" x14ac:dyDescent="0.25">
      <c r="A523" s="613"/>
      <c r="B523" s="607"/>
      <c r="C523" s="607"/>
      <c r="D523" s="607"/>
      <c r="E523" s="611"/>
      <c r="F523" s="611"/>
      <c r="G523" s="611"/>
      <c r="H523" s="611"/>
      <c r="I523" s="611"/>
      <c r="J523" s="611"/>
      <c r="K523" s="611"/>
    </row>
    <row r="524" spans="1:11" x14ac:dyDescent="0.2">
      <c r="A524" s="612">
        <v>7</v>
      </c>
      <c r="B524" s="606"/>
      <c r="C524" s="608"/>
      <c r="D524" s="608"/>
      <c r="E524" s="610"/>
      <c r="F524" s="610"/>
      <c r="G524" s="610"/>
      <c r="H524" s="610"/>
      <c r="I524" s="610"/>
      <c r="J524" s="610"/>
      <c r="K524" s="610"/>
    </row>
    <row r="525" spans="1:11" ht="15" thickBot="1" x14ac:dyDescent="0.25">
      <c r="A525" s="613"/>
      <c r="B525" s="607"/>
      <c r="C525" s="609"/>
      <c r="D525" s="609"/>
      <c r="E525" s="611"/>
      <c r="F525" s="611"/>
      <c r="G525" s="611"/>
      <c r="H525" s="611"/>
      <c r="I525" s="611"/>
      <c r="J525" s="611"/>
      <c r="K525" s="611"/>
    </row>
    <row r="526" spans="1:11" x14ac:dyDescent="0.2">
      <c r="A526" s="612">
        <v>8</v>
      </c>
      <c r="B526" s="606"/>
      <c r="C526" s="575"/>
      <c r="D526" s="608"/>
      <c r="E526" s="614"/>
      <c r="F526" s="614"/>
      <c r="G526" s="614"/>
      <c r="H526" s="614"/>
      <c r="I526" s="614"/>
      <c r="J526" s="614"/>
      <c r="K526" s="614"/>
    </row>
    <row r="527" spans="1:11" ht="15" thickBot="1" x14ac:dyDescent="0.25">
      <c r="A527" s="613"/>
      <c r="B527" s="607"/>
      <c r="C527" s="568"/>
      <c r="D527" s="609"/>
      <c r="E527" s="615"/>
      <c r="F527" s="615"/>
      <c r="G527" s="615"/>
      <c r="H527" s="615"/>
      <c r="I527" s="615"/>
      <c r="J527" s="615"/>
      <c r="K527" s="615"/>
    </row>
    <row r="528" spans="1:11" x14ac:dyDescent="0.2">
      <c r="A528" s="612">
        <v>9</v>
      </c>
      <c r="B528" s="606"/>
      <c r="C528" s="606"/>
      <c r="D528" s="608"/>
      <c r="E528" s="610"/>
      <c r="F528" s="610"/>
      <c r="G528" s="610"/>
      <c r="H528" s="610"/>
      <c r="I528" s="610"/>
      <c r="J528" s="610"/>
      <c r="K528" s="610"/>
    </row>
    <row r="529" spans="1:11" ht="15" thickBot="1" x14ac:dyDescent="0.25">
      <c r="A529" s="613"/>
      <c r="B529" s="607"/>
      <c r="C529" s="607"/>
      <c r="D529" s="609"/>
      <c r="E529" s="611"/>
      <c r="F529" s="611"/>
      <c r="G529" s="611"/>
      <c r="H529" s="611"/>
      <c r="I529" s="611"/>
      <c r="J529" s="611"/>
      <c r="K529" s="611"/>
    </row>
    <row r="530" spans="1:11" x14ac:dyDescent="0.2">
      <c r="A530" s="612">
        <v>10</v>
      </c>
      <c r="B530" s="606"/>
      <c r="C530" s="606"/>
      <c r="D530" s="608"/>
      <c r="E530" s="610"/>
      <c r="F530" s="610"/>
      <c r="G530" s="610"/>
      <c r="H530" s="610"/>
      <c r="I530" s="610"/>
      <c r="J530" s="610"/>
      <c r="K530" s="610"/>
    </row>
    <row r="531" spans="1:11" ht="15" thickBot="1" x14ac:dyDescent="0.25">
      <c r="A531" s="613"/>
      <c r="B531" s="607"/>
      <c r="C531" s="607"/>
      <c r="D531" s="609"/>
      <c r="E531" s="611"/>
      <c r="F531" s="611"/>
      <c r="G531" s="611"/>
      <c r="H531" s="611"/>
      <c r="I531" s="611"/>
      <c r="J531" s="611"/>
      <c r="K531" s="611"/>
    </row>
    <row r="532" spans="1:11" x14ac:dyDescent="0.2">
      <c r="A532" s="612">
        <v>11</v>
      </c>
      <c r="B532" s="606"/>
      <c r="C532" s="608"/>
      <c r="D532" s="608"/>
      <c r="E532" s="610"/>
      <c r="F532" s="610"/>
      <c r="G532" s="610"/>
      <c r="H532" s="610"/>
      <c r="I532" s="610"/>
      <c r="J532" s="610"/>
      <c r="K532" s="610"/>
    </row>
    <row r="533" spans="1:11" ht="15" thickBot="1" x14ac:dyDescent="0.25">
      <c r="A533" s="613"/>
      <c r="B533" s="607"/>
      <c r="C533" s="609"/>
      <c r="D533" s="609"/>
      <c r="E533" s="611"/>
      <c r="F533" s="611"/>
      <c r="G533" s="611"/>
      <c r="H533" s="611"/>
      <c r="I533" s="611"/>
      <c r="J533" s="611"/>
      <c r="K533" s="611"/>
    </row>
    <row r="534" spans="1:11" x14ac:dyDescent="0.2">
      <c r="A534" s="612">
        <v>12</v>
      </c>
      <c r="B534" s="606"/>
      <c r="C534" s="608"/>
      <c r="D534" s="606"/>
      <c r="E534" s="610"/>
      <c r="F534" s="610"/>
      <c r="G534" s="610"/>
      <c r="H534" s="610"/>
      <c r="I534" s="610"/>
      <c r="J534" s="610"/>
      <c r="K534" s="610"/>
    </row>
    <row r="535" spans="1:11" ht="15" thickBot="1" x14ac:dyDescent="0.25">
      <c r="A535" s="613"/>
      <c r="B535" s="607"/>
      <c r="C535" s="609"/>
      <c r="D535" s="607"/>
      <c r="E535" s="611"/>
      <c r="F535" s="611"/>
      <c r="G535" s="611"/>
      <c r="H535" s="611"/>
      <c r="I535" s="611"/>
      <c r="J535" s="611"/>
      <c r="K535" s="611"/>
    </row>
    <row r="536" spans="1:11" x14ac:dyDescent="0.2">
      <c r="A536" s="604">
        <v>1</v>
      </c>
      <c r="B536" s="606"/>
      <c r="C536" s="606"/>
      <c r="D536" s="608"/>
      <c r="E536" s="610"/>
      <c r="F536" s="610"/>
      <c r="G536" s="610"/>
      <c r="H536" s="610"/>
      <c r="I536" s="610"/>
      <c r="J536" s="610"/>
      <c r="K536" s="610"/>
    </row>
    <row r="537" spans="1:11" ht="15" thickBot="1" x14ac:dyDescent="0.25">
      <c r="A537" s="605"/>
      <c r="B537" s="607"/>
      <c r="C537" s="607"/>
      <c r="D537" s="609"/>
      <c r="E537" s="611"/>
      <c r="F537" s="611"/>
      <c r="G537" s="611"/>
      <c r="H537" s="611"/>
      <c r="I537" s="611"/>
      <c r="J537" s="611"/>
      <c r="K537" s="611"/>
    </row>
    <row r="538" spans="1:11" x14ac:dyDescent="0.2">
      <c r="A538" s="604">
        <v>2</v>
      </c>
      <c r="B538" s="606"/>
      <c r="C538" s="606"/>
      <c r="D538" s="608"/>
      <c r="E538" s="610"/>
      <c r="F538" s="610"/>
      <c r="G538" s="610"/>
      <c r="H538" s="610"/>
      <c r="I538" s="610"/>
      <c r="J538" s="610"/>
      <c r="K538" s="610"/>
    </row>
    <row r="539" spans="1:11" ht="15" thickBot="1" x14ac:dyDescent="0.25">
      <c r="A539" s="605"/>
      <c r="B539" s="607"/>
      <c r="C539" s="607"/>
      <c r="D539" s="609"/>
      <c r="E539" s="611"/>
      <c r="F539" s="611"/>
      <c r="G539" s="611"/>
      <c r="H539" s="611"/>
      <c r="I539" s="611"/>
      <c r="J539" s="611"/>
      <c r="K539" s="611"/>
    </row>
    <row r="540" spans="1:11" x14ac:dyDescent="0.2">
      <c r="A540" s="604">
        <v>3</v>
      </c>
      <c r="B540" s="606"/>
      <c r="C540" s="608"/>
      <c r="D540" s="608"/>
      <c r="E540" s="610"/>
      <c r="F540" s="610"/>
      <c r="G540" s="610"/>
      <c r="H540" s="610"/>
      <c r="I540" s="610"/>
      <c r="J540" s="610"/>
      <c r="K540" s="610"/>
    </row>
    <row r="541" spans="1:11" ht="15" thickBot="1" x14ac:dyDescent="0.25">
      <c r="A541" s="605"/>
      <c r="B541" s="607"/>
      <c r="C541" s="609"/>
      <c r="D541" s="609"/>
      <c r="E541" s="611"/>
      <c r="F541" s="611"/>
      <c r="G541" s="611"/>
      <c r="H541" s="611"/>
      <c r="I541" s="611"/>
      <c r="J541" s="611"/>
      <c r="K541" s="611"/>
    </row>
    <row r="542" spans="1:11" ht="23.25" x14ac:dyDescent="0.2">
      <c r="A542" s="260">
        <v>4</v>
      </c>
      <c r="B542" s="606"/>
      <c r="C542" s="608"/>
      <c r="D542" s="608"/>
      <c r="E542" s="610"/>
      <c r="F542" s="610"/>
      <c r="G542" s="610"/>
      <c r="H542" s="610"/>
      <c r="I542" s="610"/>
      <c r="J542" s="610"/>
      <c r="K542" s="610"/>
    </row>
    <row r="543" spans="1:11" ht="24" thickBot="1" x14ac:dyDescent="0.25">
      <c r="A543" s="261"/>
      <c r="B543" s="607"/>
      <c r="C543" s="609"/>
      <c r="D543" s="609"/>
      <c r="E543" s="611"/>
      <c r="F543" s="611"/>
      <c r="G543" s="611"/>
      <c r="H543" s="611"/>
      <c r="I543" s="611"/>
      <c r="J543" s="611"/>
      <c r="K543" s="611"/>
    </row>
    <row r="544" spans="1:11" x14ac:dyDescent="0.2">
      <c r="A544" s="596" t="s">
        <v>137</v>
      </c>
      <c r="B544" s="597"/>
      <c r="C544" s="597"/>
      <c r="D544" s="597"/>
      <c r="E544" s="597"/>
      <c r="F544" s="597"/>
      <c r="G544" s="597"/>
      <c r="H544" s="597"/>
      <c r="I544" s="597"/>
      <c r="J544" s="597"/>
      <c r="K544" s="598"/>
    </row>
    <row r="545" spans="1:11" x14ac:dyDescent="0.2">
      <c r="A545" s="599"/>
      <c r="B545" s="383"/>
      <c r="C545" s="383"/>
      <c r="D545" s="383"/>
      <c r="E545" s="383"/>
      <c r="F545" s="383"/>
      <c r="G545" s="383"/>
      <c r="H545" s="383"/>
      <c r="I545" s="383"/>
      <c r="J545" s="383"/>
      <c r="K545" s="600"/>
    </row>
    <row r="546" spans="1:11" x14ac:dyDescent="0.2">
      <c r="A546" s="599"/>
      <c r="B546" s="383"/>
      <c r="C546" s="383"/>
      <c r="D546" s="383"/>
      <c r="E546" s="383"/>
      <c r="F546" s="383"/>
      <c r="G546" s="383"/>
      <c r="H546" s="383"/>
      <c r="I546" s="383"/>
      <c r="J546" s="383"/>
      <c r="K546" s="600"/>
    </row>
    <row r="547" spans="1:11" ht="15" thickBot="1" x14ac:dyDescent="0.25">
      <c r="A547" s="601"/>
      <c r="B547" s="602"/>
      <c r="C547" s="602"/>
      <c r="D547" s="602"/>
      <c r="E547" s="602"/>
      <c r="F547" s="602"/>
      <c r="G547" s="602"/>
      <c r="H547" s="602"/>
      <c r="I547" s="602"/>
      <c r="J547" s="602"/>
      <c r="K547" s="603"/>
    </row>
    <row r="549" spans="1:11" ht="15.75" x14ac:dyDescent="0.25">
      <c r="A549" s="163" t="s">
        <v>188</v>
      </c>
      <c r="G549" s="345" t="s">
        <v>189</v>
      </c>
      <c r="H549" s="345"/>
      <c r="I549" s="345"/>
    </row>
    <row r="550" spans="1:11" x14ac:dyDescent="0.2">
      <c r="G550" s="456"/>
      <c r="H550" s="456"/>
      <c r="I550" s="456"/>
    </row>
    <row r="551" spans="1:11" x14ac:dyDescent="0.2">
      <c r="A551" t="s">
        <v>108</v>
      </c>
      <c r="B551" t="s">
        <v>300</v>
      </c>
      <c r="G551" s="456"/>
      <c r="H551" s="456"/>
      <c r="I551" s="456"/>
    </row>
    <row r="573" spans="1:11" ht="15" thickBot="1" x14ac:dyDescent="0.25"/>
    <row r="574" spans="1:11" ht="15" thickBot="1" x14ac:dyDescent="0.25">
      <c r="A574" s="164" t="s">
        <v>38</v>
      </c>
      <c r="B574" s="153" t="s">
        <v>39</v>
      </c>
      <c r="J574" s="153"/>
      <c r="K574" s="154" t="s">
        <v>164</v>
      </c>
    </row>
    <row r="575" spans="1:11" ht="15.75" thickTop="1" thickBot="1" x14ac:dyDescent="0.25">
      <c r="A575" s="165" t="s">
        <v>54</v>
      </c>
      <c r="B575" s="156">
        <v>1</v>
      </c>
      <c r="J575" s="156"/>
      <c r="K575" s="157" t="s">
        <v>165</v>
      </c>
    </row>
    <row r="576" spans="1:11" ht="25.5" thickTop="1" thickBot="1" x14ac:dyDescent="0.25">
      <c r="A576" s="165" t="s">
        <v>40</v>
      </c>
      <c r="B576" s="156" t="s">
        <v>316</v>
      </c>
      <c r="J576" s="156"/>
      <c r="K576" s="157" t="s">
        <v>166</v>
      </c>
    </row>
    <row r="577" spans="1:11" ht="15.75" thickTop="1" thickBot="1" x14ac:dyDescent="0.25">
      <c r="A577" s="165" t="s">
        <v>42</v>
      </c>
      <c r="B577" s="177"/>
      <c r="J577" s="156"/>
      <c r="K577" s="157" t="s">
        <v>167</v>
      </c>
    </row>
    <row r="578" spans="1:11" ht="17.25" thickTop="1" thickBot="1" x14ac:dyDescent="0.3">
      <c r="A578" s="166" t="s">
        <v>43</v>
      </c>
      <c r="B578" s="253"/>
      <c r="E578" s="581" t="s">
        <v>308</v>
      </c>
      <c r="F578" s="581"/>
      <c r="G578" s="581"/>
      <c r="J578" s="159"/>
      <c r="K578" s="160" t="s">
        <v>169</v>
      </c>
    </row>
    <row r="579" spans="1:11" ht="15" x14ac:dyDescent="0.25">
      <c r="E579" s="617" t="s">
        <v>192</v>
      </c>
      <c r="F579" s="456"/>
      <c r="G579" s="456"/>
    </row>
    <row r="580" spans="1:11" ht="15" thickBot="1" x14ac:dyDescent="0.25"/>
    <row r="581" spans="1:11" ht="14.25" customHeight="1" x14ac:dyDescent="0.2">
      <c r="A581" s="565" t="s">
        <v>193</v>
      </c>
      <c r="B581" s="583" t="s">
        <v>172</v>
      </c>
      <c r="C581" s="583" t="s">
        <v>173</v>
      </c>
      <c r="D581" s="583" t="s">
        <v>174</v>
      </c>
      <c r="E581" s="585" t="s">
        <v>175</v>
      </c>
      <c r="F581" s="586"/>
      <c r="G581" s="586"/>
      <c r="H581" s="586"/>
      <c r="I581" s="586"/>
      <c r="J581" s="586"/>
      <c r="K581" s="583"/>
    </row>
    <row r="582" spans="1:11" ht="15" customHeight="1" thickBot="1" x14ac:dyDescent="0.25">
      <c r="A582" s="566"/>
      <c r="B582" s="584"/>
      <c r="C582" s="584"/>
      <c r="D582" s="584"/>
      <c r="E582" s="587"/>
      <c r="F582" s="588"/>
      <c r="G582" s="588"/>
      <c r="H582" s="588"/>
      <c r="I582" s="588"/>
      <c r="J582" s="588"/>
      <c r="K582" s="584"/>
    </row>
    <row r="583" spans="1:11" ht="14.25" customHeight="1" x14ac:dyDescent="0.2">
      <c r="A583" s="618">
        <v>1</v>
      </c>
      <c r="B583" s="606"/>
      <c r="C583" s="576"/>
      <c r="D583" s="576"/>
      <c r="E583" s="576"/>
      <c r="F583" s="576"/>
      <c r="G583" s="576"/>
      <c r="H583" s="576"/>
      <c r="I583" s="576"/>
      <c r="J583" s="576"/>
      <c r="K583" s="576"/>
    </row>
    <row r="584" spans="1:11" ht="15" customHeight="1" thickBot="1" x14ac:dyDescent="0.25">
      <c r="A584" s="619"/>
      <c r="B584" s="607"/>
      <c r="C584" s="616"/>
      <c r="D584" s="616"/>
      <c r="E584" s="616"/>
      <c r="F584" s="616"/>
      <c r="G584" s="616"/>
      <c r="H584" s="616"/>
      <c r="I584" s="616"/>
      <c r="J584" s="616"/>
      <c r="K584" s="616"/>
    </row>
    <row r="585" spans="1:11" ht="14.25" customHeight="1" x14ac:dyDescent="0.2">
      <c r="A585" s="618">
        <v>2</v>
      </c>
      <c r="B585" s="606"/>
      <c r="C585" s="575"/>
      <c r="D585" s="576"/>
      <c r="E585" s="620"/>
      <c r="F585" s="576"/>
      <c r="G585" s="576"/>
      <c r="H585" s="576"/>
      <c r="I585" s="576"/>
      <c r="J585" s="576"/>
      <c r="K585" s="576"/>
    </row>
    <row r="586" spans="1:11" ht="15" customHeight="1" thickBot="1" x14ac:dyDescent="0.25">
      <c r="A586" s="619"/>
      <c r="B586" s="607"/>
      <c r="C586" s="568"/>
      <c r="D586" s="616"/>
      <c r="E586" s="616"/>
      <c r="F586" s="616"/>
      <c r="G586" s="616"/>
      <c r="H586" s="616"/>
      <c r="I586" s="616"/>
      <c r="J586" s="616"/>
      <c r="K586" s="616"/>
    </row>
    <row r="587" spans="1:11" ht="14.25" customHeight="1" x14ac:dyDescent="0.2">
      <c r="A587" s="618">
        <v>3</v>
      </c>
      <c r="B587" s="575"/>
      <c r="C587" s="576"/>
      <c r="D587" s="606"/>
      <c r="E587" s="621"/>
      <c r="F587" s="576"/>
      <c r="G587" s="576"/>
      <c r="H587" s="576"/>
      <c r="I587" s="576"/>
      <c r="J587" s="576"/>
      <c r="K587" s="576"/>
    </row>
    <row r="588" spans="1:11" ht="15" customHeight="1" thickBot="1" x14ac:dyDescent="0.25">
      <c r="A588" s="619"/>
      <c r="B588" s="568"/>
      <c r="C588" s="616"/>
      <c r="D588" s="607"/>
      <c r="E588" s="616"/>
      <c r="F588" s="616"/>
      <c r="G588" s="616"/>
      <c r="H588" s="616"/>
      <c r="I588" s="616"/>
      <c r="J588" s="616"/>
      <c r="K588" s="616"/>
    </row>
    <row r="589" spans="1:11" ht="14.25" customHeight="1" x14ac:dyDescent="0.2">
      <c r="A589" s="618">
        <v>4</v>
      </c>
      <c r="B589" s="606"/>
      <c r="C589" s="576"/>
      <c r="D589" s="576"/>
      <c r="E589" s="576"/>
      <c r="F589" s="576"/>
      <c r="G589" s="576"/>
      <c r="H589" s="576"/>
      <c r="I589" s="576"/>
      <c r="J589" s="576"/>
      <c r="K589" s="576"/>
    </row>
    <row r="590" spans="1:11" ht="15" customHeight="1" thickBot="1" x14ac:dyDescent="0.25">
      <c r="A590" s="619"/>
      <c r="B590" s="607"/>
      <c r="C590" s="616"/>
      <c r="D590" s="616"/>
      <c r="E590" s="616"/>
      <c r="F590" s="616"/>
      <c r="G590" s="616"/>
      <c r="H590" s="616"/>
      <c r="I590" s="616"/>
      <c r="J590" s="616"/>
      <c r="K590" s="616"/>
    </row>
    <row r="591" spans="1:11" ht="14.25" customHeight="1" x14ac:dyDescent="0.2">
      <c r="A591" s="618">
        <v>5</v>
      </c>
      <c r="B591" s="575"/>
      <c r="C591" s="576"/>
      <c r="D591" s="606"/>
      <c r="E591" s="576"/>
      <c r="F591" s="576"/>
      <c r="G591" s="576"/>
      <c r="H591" s="576"/>
      <c r="I591" s="576"/>
      <c r="J591" s="576"/>
      <c r="K591" s="576"/>
    </row>
    <row r="592" spans="1:11" ht="15" customHeight="1" thickBot="1" x14ac:dyDescent="0.25">
      <c r="A592" s="619"/>
      <c r="B592" s="568"/>
      <c r="C592" s="616"/>
      <c r="D592" s="607"/>
      <c r="E592" s="616"/>
      <c r="F592" s="616"/>
      <c r="G592" s="616"/>
      <c r="H592" s="616"/>
      <c r="I592" s="616"/>
      <c r="J592" s="616"/>
      <c r="K592" s="616"/>
    </row>
    <row r="593" spans="1:11" ht="14.25" customHeight="1" x14ac:dyDescent="0.2">
      <c r="A593" s="618">
        <v>6</v>
      </c>
      <c r="B593" s="606"/>
      <c r="C593" s="576"/>
      <c r="D593" s="606"/>
      <c r="E593" s="620"/>
      <c r="F593" s="576"/>
      <c r="G593" s="576"/>
      <c r="H593" s="576"/>
      <c r="I593" s="576"/>
      <c r="J593" s="576"/>
      <c r="K593" s="576"/>
    </row>
    <row r="594" spans="1:11" ht="15" customHeight="1" thickBot="1" x14ac:dyDescent="0.25">
      <c r="A594" s="619"/>
      <c r="B594" s="607"/>
      <c r="C594" s="616"/>
      <c r="D594" s="607"/>
      <c r="E594" s="616"/>
      <c r="F594" s="616"/>
      <c r="G594" s="616"/>
      <c r="H594" s="616"/>
      <c r="I594" s="616"/>
      <c r="J594" s="616"/>
      <c r="K594" s="616"/>
    </row>
    <row r="595" spans="1:11" ht="14.25" customHeight="1" x14ac:dyDescent="0.2">
      <c r="A595" s="618">
        <v>7</v>
      </c>
      <c r="B595" s="575"/>
      <c r="C595" s="576"/>
      <c r="D595" s="606"/>
      <c r="E595" s="576"/>
      <c r="F595" s="576"/>
      <c r="G595" s="576"/>
      <c r="H595" s="576"/>
      <c r="I595" s="576"/>
      <c r="J595" s="576"/>
      <c r="K595" s="576"/>
    </row>
    <row r="596" spans="1:11" ht="15" customHeight="1" thickBot="1" x14ac:dyDescent="0.25">
      <c r="A596" s="619"/>
      <c r="B596" s="568"/>
      <c r="C596" s="616"/>
      <c r="D596" s="607"/>
      <c r="E596" s="616"/>
      <c r="F596" s="616"/>
      <c r="G596" s="616"/>
      <c r="H596" s="616"/>
      <c r="I596" s="616"/>
      <c r="J596" s="616"/>
      <c r="K596" s="616"/>
    </row>
    <row r="597" spans="1:11" ht="14.25" customHeight="1" x14ac:dyDescent="0.2">
      <c r="A597" s="618">
        <v>8</v>
      </c>
      <c r="B597" s="606"/>
      <c r="C597" s="575"/>
      <c r="D597" s="576"/>
      <c r="E597" s="610"/>
      <c r="F597" s="610"/>
      <c r="G597" s="610"/>
      <c r="H597" s="610"/>
      <c r="I597" s="610"/>
      <c r="J597" s="610"/>
      <c r="K597" s="610"/>
    </row>
    <row r="598" spans="1:11" ht="15" customHeight="1" thickBot="1" x14ac:dyDescent="0.25">
      <c r="A598" s="619"/>
      <c r="B598" s="607"/>
      <c r="C598" s="568"/>
      <c r="D598" s="616"/>
      <c r="E598" s="611"/>
      <c r="F598" s="611"/>
      <c r="G598" s="611"/>
      <c r="H598" s="611"/>
      <c r="I598" s="611"/>
      <c r="J598" s="611"/>
      <c r="K598" s="611"/>
    </row>
    <row r="599" spans="1:11" ht="14.25" customHeight="1" x14ac:dyDescent="0.2">
      <c r="A599" s="618">
        <v>9</v>
      </c>
      <c r="B599" s="606"/>
      <c r="C599" s="576"/>
      <c r="D599" s="576"/>
      <c r="E599" s="576"/>
      <c r="F599" s="576"/>
      <c r="G599" s="576"/>
      <c r="H599" s="576"/>
      <c r="I599" s="576"/>
      <c r="J599" s="576"/>
      <c r="K599" s="576"/>
    </row>
    <row r="600" spans="1:11" ht="15" customHeight="1" thickBot="1" x14ac:dyDescent="0.25">
      <c r="A600" s="619"/>
      <c r="B600" s="607"/>
      <c r="C600" s="616"/>
      <c r="D600" s="616"/>
      <c r="E600" s="616"/>
      <c r="F600" s="616"/>
      <c r="G600" s="616"/>
      <c r="H600" s="616"/>
      <c r="I600" s="616"/>
      <c r="J600" s="616"/>
      <c r="K600" s="616"/>
    </row>
    <row r="601" spans="1:11" ht="14.25" customHeight="1" x14ac:dyDescent="0.2">
      <c r="A601" s="618">
        <v>10</v>
      </c>
      <c r="B601" s="575"/>
      <c r="C601" s="576"/>
      <c r="D601" s="606"/>
      <c r="E601" s="576"/>
      <c r="F601" s="576"/>
      <c r="G601" s="576"/>
      <c r="H601" s="576"/>
      <c r="I601" s="576"/>
      <c r="J601" s="576"/>
      <c r="K601" s="576"/>
    </row>
    <row r="602" spans="1:11" ht="15" customHeight="1" thickBot="1" x14ac:dyDescent="0.25">
      <c r="A602" s="619"/>
      <c r="B602" s="568"/>
      <c r="C602" s="616"/>
      <c r="D602" s="607"/>
      <c r="E602" s="616"/>
      <c r="F602" s="616"/>
      <c r="G602" s="616"/>
      <c r="H602" s="616"/>
      <c r="I602" s="616"/>
      <c r="J602" s="616"/>
      <c r="K602" s="616"/>
    </row>
    <row r="603" spans="1:11" ht="14.25" customHeight="1" x14ac:dyDescent="0.2">
      <c r="A603" s="618">
        <v>11</v>
      </c>
      <c r="B603" s="606"/>
      <c r="C603" s="576"/>
      <c r="D603" s="576"/>
      <c r="E603" s="576"/>
      <c r="F603" s="576"/>
      <c r="G603" s="576"/>
      <c r="H603" s="576"/>
      <c r="I603" s="576"/>
      <c r="J603" s="576"/>
      <c r="K603" s="576"/>
    </row>
    <row r="604" spans="1:11" ht="15" customHeight="1" thickBot="1" x14ac:dyDescent="0.25">
      <c r="A604" s="619"/>
      <c r="B604" s="607"/>
      <c r="C604" s="616"/>
      <c r="D604" s="616"/>
      <c r="E604" s="616"/>
      <c r="F604" s="616"/>
      <c r="G604" s="616"/>
      <c r="H604" s="616"/>
      <c r="I604" s="616"/>
      <c r="J604" s="616"/>
      <c r="K604" s="616"/>
    </row>
    <row r="605" spans="1:11" ht="14.25" customHeight="1" x14ac:dyDescent="0.2">
      <c r="A605" s="618">
        <v>12</v>
      </c>
      <c r="B605" s="606"/>
      <c r="C605" s="576"/>
      <c r="D605" s="575"/>
      <c r="E605" s="620"/>
      <c r="F605" s="576"/>
      <c r="G605" s="576"/>
      <c r="H605" s="576"/>
      <c r="I605" s="576"/>
      <c r="J605" s="576"/>
      <c r="K605" s="576"/>
    </row>
    <row r="606" spans="1:11" ht="15" customHeight="1" thickBot="1" x14ac:dyDescent="0.25">
      <c r="A606" s="619"/>
      <c r="B606" s="607"/>
      <c r="C606" s="616"/>
      <c r="D606" s="568"/>
      <c r="E606" s="616"/>
      <c r="F606" s="616"/>
      <c r="G606" s="616"/>
      <c r="H606" s="616"/>
      <c r="I606" s="616"/>
      <c r="J606" s="616"/>
      <c r="K606" s="616"/>
    </row>
    <row r="607" spans="1:11" ht="14.25" customHeight="1" x14ac:dyDescent="0.2">
      <c r="A607" s="618">
        <v>13</v>
      </c>
      <c r="B607" s="606"/>
      <c r="C607" s="576"/>
      <c r="D607" s="576"/>
      <c r="E607" s="576"/>
      <c r="F607" s="576"/>
      <c r="G607" s="576"/>
      <c r="H607" s="576"/>
      <c r="I607" s="576"/>
      <c r="J607" s="576"/>
      <c r="K607" s="576"/>
    </row>
    <row r="608" spans="1:11" ht="15" customHeight="1" thickBot="1" x14ac:dyDescent="0.25">
      <c r="A608" s="619"/>
      <c r="B608" s="607"/>
      <c r="C608" s="616"/>
      <c r="D608" s="616"/>
      <c r="E608" s="616"/>
      <c r="F608" s="616"/>
      <c r="G608" s="616"/>
      <c r="H608" s="616"/>
      <c r="I608" s="616"/>
      <c r="J608" s="616"/>
      <c r="K608" s="616"/>
    </row>
    <row r="609" spans="1:11" ht="14.25" customHeight="1" x14ac:dyDescent="0.2">
      <c r="A609" s="618">
        <v>14</v>
      </c>
      <c r="B609" s="606"/>
      <c r="C609" s="576"/>
      <c r="D609" s="576"/>
      <c r="E609" s="576"/>
      <c r="F609" s="576"/>
      <c r="G609" s="576"/>
      <c r="H609" s="576"/>
      <c r="I609" s="576"/>
      <c r="J609" s="576"/>
      <c r="K609" s="576"/>
    </row>
    <row r="610" spans="1:11" ht="15" customHeight="1" thickBot="1" x14ac:dyDescent="0.25">
      <c r="A610" s="619"/>
      <c r="B610" s="607"/>
      <c r="C610" s="616"/>
      <c r="D610" s="616"/>
      <c r="E610" s="616"/>
      <c r="F610" s="616"/>
      <c r="G610" s="616"/>
      <c r="H610" s="616"/>
      <c r="I610" s="616"/>
      <c r="J610" s="616"/>
      <c r="K610" s="616"/>
    </row>
    <row r="611" spans="1:11" ht="14.25" customHeight="1" x14ac:dyDescent="0.2">
      <c r="A611" s="618">
        <v>15</v>
      </c>
      <c r="B611" s="606"/>
      <c r="C611" s="576"/>
      <c r="D611" s="576"/>
      <c r="E611" s="576"/>
      <c r="F611" s="576"/>
      <c r="G611" s="576"/>
      <c r="H611" s="576"/>
      <c r="I611" s="576"/>
      <c r="J611" s="576"/>
      <c r="K611" s="576"/>
    </row>
    <row r="612" spans="1:11" ht="15" customHeight="1" thickBot="1" x14ac:dyDescent="0.25">
      <c r="A612" s="619"/>
      <c r="B612" s="607"/>
      <c r="C612" s="616"/>
      <c r="D612" s="616"/>
      <c r="E612" s="616"/>
      <c r="F612" s="616"/>
      <c r="G612" s="616"/>
      <c r="H612" s="616"/>
      <c r="I612" s="616"/>
      <c r="J612" s="616"/>
      <c r="K612" s="616"/>
    </row>
    <row r="613" spans="1:11" ht="14.25" customHeight="1" x14ac:dyDescent="0.2">
      <c r="A613" s="618">
        <v>16</v>
      </c>
      <c r="B613" s="606"/>
      <c r="C613" s="576"/>
      <c r="D613" s="576"/>
      <c r="E613" s="576"/>
      <c r="F613" s="576"/>
      <c r="G613" s="576"/>
      <c r="H613" s="576"/>
      <c r="I613" s="576"/>
      <c r="J613" s="576"/>
      <c r="K613" s="576"/>
    </row>
    <row r="614" spans="1:11" ht="15" customHeight="1" thickBot="1" x14ac:dyDescent="0.25">
      <c r="A614" s="619"/>
      <c r="B614" s="607"/>
      <c r="C614" s="616"/>
      <c r="D614" s="616"/>
      <c r="E614" s="616"/>
      <c r="F614" s="616"/>
      <c r="G614" s="616"/>
      <c r="H614" s="616"/>
      <c r="I614" s="616"/>
      <c r="J614" s="616"/>
      <c r="K614" s="616"/>
    </row>
    <row r="615" spans="1:11" x14ac:dyDescent="0.2">
      <c r="A615" s="596" t="s">
        <v>137</v>
      </c>
      <c r="B615" s="597"/>
      <c r="C615" s="597"/>
      <c r="D615" s="597"/>
      <c r="E615" s="597"/>
      <c r="F615" s="597"/>
      <c r="G615" s="597"/>
      <c r="H615" s="597"/>
      <c r="I615" s="597"/>
      <c r="J615" s="597"/>
      <c r="K615" s="598"/>
    </row>
    <row r="616" spans="1:11" x14ac:dyDescent="0.2">
      <c r="A616" s="599"/>
      <c r="B616" s="383"/>
      <c r="C616" s="383"/>
      <c r="D616" s="383"/>
      <c r="E616" s="383"/>
      <c r="F616" s="383"/>
      <c r="G616" s="383"/>
      <c r="H616" s="383"/>
      <c r="I616" s="383"/>
      <c r="J616" s="383"/>
      <c r="K616" s="600"/>
    </row>
    <row r="617" spans="1:11" x14ac:dyDescent="0.2">
      <c r="A617" s="599"/>
      <c r="B617" s="383"/>
      <c r="C617" s="383"/>
      <c r="D617" s="383"/>
      <c r="E617" s="383"/>
      <c r="F617" s="383"/>
      <c r="G617" s="383"/>
      <c r="H617" s="383"/>
      <c r="I617" s="383"/>
      <c r="J617" s="383"/>
      <c r="K617" s="600"/>
    </row>
    <row r="618" spans="1:11" ht="15" thickBot="1" x14ac:dyDescent="0.25">
      <c r="A618" s="601"/>
      <c r="B618" s="602"/>
      <c r="C618" s="602"/>
      <c r="D618" s="602"/>
      <c r="E618" s="602"/>
      <c r="F618" s="602"/>
      <c r="G618" s="602"/>
      <c r="H618" s="602"/>
      <c r="I618" s="602"/>
      <c r="J618" s="602"/>
      <c r="K618" s="603"/>
    </row>
    <row r="620" spans="1:11" ht="15.75" x14ac:dyDescent="0.25">
      <c r="A620" s="163" t="s">
        <v>188</v>
      </c>
      <c r="G620" s="345" t="s">
        <v>189</v>
      </c>
      <c r="H620" s="345"/>
      <c r="I620" s="345"/>
    </row>
    <row r="621" spans="1:11" x14ac:dyDescent="0.2">
      <c r="G621" s="456"/>
      <c r="H621" s="456"/>
      <c r="I621" s="456"/>
    </row>
    <row r="622" spans="1:11" x14ac:dyDescent="0.2">
      <c r="A622" t="s">
        <v>108</v>
      </c>
      <c r="G622" s="456"/>
      <c r="H622" s="456"/>
      <c r="I622" s="456"/>
    </row>
    <row r="623" spans="1:11" x14ac:dyDescent="0.2">
      <c r="G623" s="456"/>
      <c r="H623" s="456"/>
      <c r="I623" s="456"/>
    </row>
    <row r="624" spans="1:11" x14ac:dyDescent="0.2">
      <c r="A624" t="s">
        <v>194</v>
      </c>
      <c r="G624" s="456"/>
      <c r="H624" s="456"/>
      <c r="I624" s="456"/>
    </row>
    <row r="642" spans="1:11" ht="15" thickBot="1" x14ac:dyDescent="0.25"/>
    <row r="643" spans="1:11" ht="15" thickBot="1" x14ac:dyDescent="0.25">
      <c r="A643" s="164" t="s">
        <v>38</v>
      </c>
      <c r="B643" s="153" t="s">
        <v>39</v>
      </c>
      <c r="J643" s="153"/>
      <c r="K643" s="154" t="s">
        <v>164</v>
      </c>
    </row>
    <row r="644" spans="1:11" ht="15.75" thickTop="1" thickBot="1" x14ac:dyDescent="0.25">
      <c r="A644" s="165" t="s">
        <v>54</v>
      </c>
      <c r="B644" s="156">
        <v>1</v>
      </c>
      <c r="J644" s="156"/>
      <c r="K644" s="157" t="s">
        <v>165</v>
      </c>
    </row>
    <row r="645" spans="1:11" ht="25.5" thickTop="1" thickBot="1" x14ac:dyDescent="0.25">
      <c r="A645" s="165" t="s">
        <v>40</v>
      </c>
      <c r="B645" s="156" t="s">
        <v>253</v>
      </c>
      <c r="J645" s="156"/>
      <c r="K645" s="157" t="s">
        <v>166</v>
      </c>
    </row>
    <row r="646" spans="1:11" ht="15.75" thickTop="1" thickBot="1" x14ac:dyDescent="0.25">
      <c r="A646" s="165" t="s">
        <v>42</v>
      </c>
      <c r="B646" s="177"/>
      <c r="J646" s="156"/>
      <c r="K646" s="157" t="s">
        <v>167</v>
      </c>
    </row>
    <row r="647" spans="1:11" ht="17.25" thickTop="1" thickBot="1" x14ac:dyDescent="0.3">
      <c r="A647" s="166" t="s">
        <v>43</v>
      </c>
      <c r="B647" s="159"/>
      <c r="E647" s="581" t="s">
        <v>308</v>
      </c>
      <c r="F647" s="581"/>
      <c r="G647" s="581"/>
      <c r="J647" s="159"/>
      <c r="K647" s="160" t="s">
        <v>169</v>
      </c>
    </row>
    <row r="648" spans="1:11" ht="15" x14ac:dyDescent="0.25">
      <c r="E648" s="617" t="s">
        <v>192</v>
      </c>
      <c r="F648" s="456"/>
      <c r="G648" s="456"/>
    </row>
    <row r="649" spans="1:11" ht="15" thickBot="1" x14ac:dyDescent="0.25"/>
    <row r="650" spans="1:11" ht="14.25" customHeight="1" x14ac:dyDescent="0.2">
      <c r="A650" s="565" t="s">
        <v>193</v>
      </c>
      <c r="B650" s="583" t="s">
        <v>172</v>
      </c>
      <c r="C650" s="583" t="s">
        <v>173</v>
      </c>
      <c r="D650" s="583" t="s">
        <v>174</v>
      </c>
      <c r="E650" s="585" t="s">
        <v>175</v>
      </c>
      <c r="F650" s="586"/>
      <c r="G650" s="586"/>
      <c r="H650" s="586"/>
      <c r="I650" s="586"/>
      <c r="J650" s="586"/>
      <c r="K650" s="583"/>
    </row>
    <row r="651" spans="1:11" ht="15" customHeight="1" thickBot="1" x14ac:dyDescent="0.25">
      <c r="A651" s="566"/>
      <c r="B651" s="584"/>
      <c r="C651" s="584"/>
      <c r="D651" s="584"/>
      <c r="E651" s="587"/>
      <c r="F651" s="588"/>
      <c r="G651" s="588"/>
      <c r="H651" s="588"/>
      <c r="I651" s="588"/>
      <c r="J651" s="588"/>
      <c r="K651" s="584"/>
    </row>
    <row r="652" spans="1:11" ht="14.25" customHeight="1" x14ac:dyDescent="0.2">
      <c r="A652" s="612">
        <v>1</v>
      </c>
      <c r="B652" s="606"/>
      <c r="C652" s="576"/>
      <c r="D652" s="576"/>
      <c r="E652" s="576"/>
      <c r="F652" s="576"/>
      <c r="G652" s="576"/>
      <c r="H652" s="576"/>
      <c r="I652" s="576"/>
      <c r="J652" s="576"/>
      <c r="K652" s="576"/>
    </row>
    <row r="653" spans="1:11" ht="15" customHeight="1" thickBot="1" x14ac:dyDescent="0.25">
      <c r="A653" s="613"/>
      <c r="B653" s="607"/>
      <c r="C653" s="616"/>
      <c r="D653" s="616"/>
      <c r="E653" s="616"/>
      <c r="F653" s="616"/>
      <c r="G653" s="616"/>
      <c r="H653" s="616"/>
      <c r="I653" s="616"/>
      <c r="J653" s="616"/>
      <c r="K653" s="616"/>
    </row>
    <row r="654" spans="1:11" ht="14.25" customHeight="1" x14ac:dyDescent="0.2">
      <c r="A654" s="612">
        <v>2</v>
      </c>
      <c r="B654" s="606"/>
      <c r="C654" s="606"/>
      <c r="D654" s="608"/>
      <c r="E654" s="610"/>
      <c r="F654" s="610"/>
      <c r="G654" s="610"/>
      <c r="H654" s="610"/>
      <c r="I654" s="610"/>
      <c r="J654" s="610"/>
      <c r="K654" s="610"/>
    </row>
    <row r="655" spans="1:11" ht="15" customHeight="1" thickBot="1" x14ac:dyDescent="0.25">
      <c r="A655" s="613"/>
      <c r="B655" s="607"/>
      <c r="C655" s="607"/>
      <c r="D655" s="609"/>
      <c r="E655" s="611"/>
      <c r="F655" s="611"/>
      <c r="G655" s="611"/>
      <c r="H655" s="611"/>
      <c r="I655" s="611"/>
      <c r="J655" s="611"/>
      <c r="K655" s="611"/>
    </row>
    <row r="656" spans="1:11" ht="14.25" customHeight="1" x14ac:dyDescent="0.2">
      <c r="A656" s="612">
        <v>3</v>
      </c>
      <c r="B656" s="606"/>
      <c r="C656" s="606"/>
      <c r="D656" s="606"/>
      <c r="E656" s="610"/>
      <c r="F656" s="610"/>
      <c r="G656" s="610"/>
      <c r="H656" s="610"/>
      <c r="I656" s="610"/>
      <c r="J656" s="610"/>
      <c r="K656" s="610"/>
    </row>
    <row r="657" spans="1:11" ht="15" customHeight="1" thickBot="1" x14ac:dyDescent="0.25">
      <c r="A657" s="613"/>
      <c r="B657" s="607"/>
      <c r="C657" s="607"/>
      <c r="D657" s="607"/>
      <c r="E657" s="611"/>
      <c r="F657" s="611"/>
      <c r="G657" s="611"/>
      <c r="H657" s="611"/>
      <c r="I657" s="611"/>
      <c r="J657" s="611"/>
      <c r="K657" s="611"/>
    </row>
    <row r="658" spans="1:11" ht="14.25" customHeight="1" x14ac:dyDescent="0.2">
      <c r="A658" s="612">
        <v>4</v>
      </c>
      <c r="B658" s="606"/>
      <c r="C658" s="606"/>
      <c r="D658" s="606"/>
      <c r="E658" s="610"/>
      <c r="F658" s="610"/>
      <c r="G658" s="610"/>
      <c r="H658" s="610"/>
      <c r="I658" s="610"/>
      <c r="J658" s="610"/>
      <c r="K658" s="610"/>
    </row>
    <row r="659" spans="1:11" ht="15" customHeight="1" thickBot="1" x14ac:dyDescent="0.25">
      <c r="A659" s="613"/>
      <c r="B659" s="607"/>
      <c r="C659" s="607"/>
      <c r="D659" s="607"/>
      <c r="E659" s="611"/>
      <c r="F659" s="611"/>
      <c r="G659" s="611"/>
      <c r="H659" s="611"/>
      <c r="I659" s="611"/>
      <c r="J659" s="611"/>
      <c r="K659" s="611"/>
    </row>
    <row r="660" spans="1:11" ht="14.25" customHeight="1" x14ac:dyDescent="0.2">
      <c r="A660" s="612">
        <v>5</v>
      </c>
      <c r="B660" s="606"/>
      <c r="C660" s="608"/>
      <c r="D660" s="608"/>
      <c r="E660" s="610"/>
      <c r="F660" s="610"/>
      <c r="G660" s="610"/>
      <c r="H660" s="610"/>
      <c r="I660" s="610"/>
      <c r="J660" s="610"/>
      <c r="K660" s="610"/>
    </row>
    <row r="661" spans="1:11" ht="15" customHeight="1" thickBot="1" x14ac:dyDescent="0.25">
      <c r="A661" s="613"/>
      <c r="B661" s="607"/>
      <c r="C661" s="609"/>
      <c r="D661" s="609"/>
      <c r="E661" s="611"/>
      <c r="F661" s="611"/>
      <c r="G661" s="611"/>
      <c r="H661" s="611"/>
      <c r="I661" s="611"/>
      <c r="J661" s="611"/>
      <c r="K661" s="611"/>
    </row>
    <row r="662" spans="1:11" ht="14.25" customHeight="1" x14ac:dyDescent="0.2">
      <c r="A662" s="612">
        <v>6</v>
      </c>
      <c r="B662" s="606"/>
      <c r="C662" s="606"/>
      <c r="D662" s="606"/>
      <c r="E662" s="610"/>
      <c r="F662" s="610"/>
      <c r="G662" s="610"/>
      <c r="H662" s="610"/>
      <c r="I662" s="610"/>
      <c r="J662" s="610"/>
      <c r="K662" s="610"/>
    </row>
    <row r="663" spans="1:11" ht="15" customHeight="1" thickBot="1" x14ac:dyDescent="0.25">
      <c r="A663" s="613"/>
      <c r="B663" s="607"/>
      <c r="C663" s="607"/>
      <c r="D663" s="607"/>
      <c r="E663" s="611"/>
      <c r="F663" s="611"/>
      <c r="G663" s="611"/>
      <c r="H663" s="611"/>
      <c r="I663" s="611"/>
      <c r="J663" s="611"/>
      <c r="K663" s="611"/>
    </row>
    <row r="664" spans="1:11" ht="14.25" customHeight="1" x14ac:dyDescent="0.2">
      <c r="A664" s="612">
        <v>7</v>
      </c>
      <c r="B664" s="606"/>
      <c r="C664" s="608"/>
      <c r="D664" s="608"/>
      <c r="E664" s="610"/>
      <c r="F664" s="610"/>
      <c r="G664" s="610"/>
      <c r="H664" s="610"/>
      <c r="I664" s="610"/>
      <c r="J664" s="610"/>
      <c r="K664" s="610"/>
    </row>
    <row r="665" spans="1:11" ht="15" customHeight="1" thickBot="1" x14ac:dyDescent="0.25">
      <c r="A665" s="613"/>
      <c r="B665" s="607"/>
      <c r="C665" s="609"/>
      <c r="D665" s="609"/>
      <c r="E665" s="611"/>
      <c r="F665" s="611"/>
      <c r="G665" s="611"/>
      <c r="H665" s="611"/>
      <c r="I665" s="611"/>
      <c r="J665" s="611"/>
      <c r="K665" s="611"/>
    </row>
    <row r="666" spans="1:11" ht="14.25" customHeight="1" x14ac:dyDescent="0.2">
      <c r="A666" s="612">
        <v>8</v>
      </c>
      <c r="B666" s="606"/>
      <c r="C666" s="575"/>
      <c r="D666" s="608"/>
      <c r="E666" s="614"/>
      <c r="F666" s="614"/>
      <c r="G666" s="614"/>
      <c r="H666" s="614"/>
      <c r="I666" s="614"/>
      <c r="J666" s="614"/>
      <c r="K666" s="614"/>
    </row>
    <row r="667" spans="1:11" ht="15" customHeight="1" thickBot="1" x14ac:dyDescent="0.25">
      <c r="A667" s="613"/>
      <c r="B667" s="607"/>
      <c r="C667" s="568"/>
      <c r="D667" s="609"/>
      <c r="E667" s="615"/>
      <c r="F667" s="615"/>
      <c r="G667" s="615"/>
      <c r="H667" s="615"/>
      <c r="I667" s="615"/>
      <c r="J667" s="615"/>
      <c r="K667" s="615"/>
    </row>
    <row r="668" spans="1:11" ht="14.25" customHeight="1" x14ac:dyDescent="0.2">
      <c r="A668" s="612">
        <v>9</v>
      </c>
      <c r="B668" s="606"/>
      <c r="C668" s="606"/>
      <c r="D668" s="608"/>
      <c r="E668" s="610"/>
      <c r="F668" s="610"/>
      <c r="G668" s="610"/>
      <c r="H668" s="610"/>
      <c r="I668" s="610"/>
      <c r="J668" s="610"/>
      <c r="K668" s="610"/>
    </row>
    <row r="669" spans="1:11" ht="15" customHeight="1" thickBot="1" x14ac:dyDescent="0.25">
      <c r="A669" s="613"/>
      <c r="B669" s="607"/>
      <c r="C669" s="607"/>
      <c r="D669" s="609"/>
      <c r="E669" s="611"/>
      <c r="F669" s="611"/>
      <c r="G669" s="611"/>
      <c r="H669" s="611"/>
      <c r="I669" s="611"/>
      <c r="J669" s="611"/>
      <c r="K669" s="611"/>
    </row>
    <row r="670" spans="1:11" ht="14.25" customHeight="1" x14ac:dyDescent="0.2">
      <c r="A670" s="612">
        <v>10</v>
      </c>
      <c r="B670" s="606"/>
      <c r="C670" s="606"/>
      <c r="D670" s="608"/>
      <c r="E670" s="610"/>
      <c r="F670" s="610"/>
      <c r="G670" s="610"/>
      <c r="H670" s="610"/>
      <c r="I670" s="610"/>
      <c r="J670" s="610"/>
      <c r="K670" s="610"/>
    </row>
    <row r="671" spans="1:11" ht="15" customHeight="1" thickBot="1" x14ac:dyDescent="0.25">
      <c r="A671" s="613"/>
      <c r="B671" s="607"/>
      <c r="C671" s="607"/>
      <c r="D671" s="609"/>
      <c r="E671" s="611"/>
      <c r="F671" s="611"/>
      <c r="G671" s="611"/>
      <c r="H671" s="611"/>
      <c r="I671" s="611"/>
      <c r="J671" s="611"/>
      <c r="K671" s="611"/>
    </row>
    <row r="672" spans="1:11" ht="14.25" customHeight="1" x14ac:dyDescent="0.2">
      <c r="A672" s="612">
        <v>11</v>
      </c>
      <c r="B672" s="606"/>
      <c r="C672" s="608"/>
      <c r="D672" s="608"/>
      <c r="E672" s="610"/>
      <c r="F672" s="610"/>
      <c r="G672" s="610"/>
      <c r="H672" s="610"/>
      <c r="I672" s="610"/>
      <c r="J672" s="610"/>
      <c r="K672" s="610"/>
    </row>
    <row r="673" spans="1:11" ht="15" customHeight="1" thickBot="1" x14ac:dyDescent="0.25">
      <c r="A673" s="613"/>
      <c r="B673" s="607"/>
      <c r="C673" s="609"/>
      <c r="D673" s="609"/>
      <c r="E673" s="611"/>
      <c r="F673" s="611"/>
      <c r="G673" s="611"/>
      <c r="H673" s="611"/>
      <c r="I673" s="611"/>
      <c r="J673" s="611"/>
      <c r="K673" s="611"/>
    </row>
    <row r="674" spans="1:11" ht="14.25" customHeight="1" x14ac:dyDescent="0.2">
      <c r="A674" s="612">
        <v>12</v>
      </c>
      <c r="B674" s="606"/>
      <c r="C674" s="608"/>
      <c r="D674" s="606"/>
      <c r="E674" s="610"/>
      <c r="F674" s="610"/>
      <c r="G674" s="610"/>
      <c r="H674" s="610"/>
      <c r="I674" s="610"/>
      <c r="J674" s="610"/>
      <c r="K674" s="610"/>
    </row>
    <row r="675" spans="1:11" ht="15" customHeight="1" thickBot="1" x14ac:dyDescent="0.25">
      <c r="A675" s="613"/>
      <c r="B675" s="607"/>
      <c r="C675" s="609"/>
      <c r="D675" s="607"/>
      <c r="E675" s="611"/>
      <c r="F675" s="611"/>
      <c r="G675" s="611"/>
      <c r="H675" s="611"/>
      <c r="I675" s="611"/>
      <c r="J675" s="611"/>
      <c r="K675" s="611"/>
    </row>
    <row r="676" spans="1:11" ht="14.25" customHeight="1" x14ac:dyDescent="0.2">
      <c r="A676" s="604">
        <v>1</v>
      </c>
      <c r="B676" s="606"/>
      <c r="C676" s="606"/>
      <c r="D676" s="608"/>
      <c r="E676" s="610"/>
      <c r="F676" s="610"/>
      <c r="G676" s="610"/>
      <c r="H676" s="610"/>
      <c r="I676" s="610"/>
      <c r="J676" s="610"/>
      <c r="K676" s="610"/>
    </row>
    <row r="677" spans="1:11" ht="15" customHeight="1" thickBot="1" x14ac:dyDescent="0.25">
      <c r="A677" s="605"/>
      <c r="B677" s="607"/>
      <c r="C677" s="607"/>
      <c r="D677" s="609"/>
      <c r="E677" s="611"/>
      <c r="F677" s="611"/>
      <c r="G677" s="611"/>
      <c r="H677" s="611"/>
      <c r="I677" s="611"/>
      <c r="J677" s="611"/>
      <c r="K677" s="611"/>
    </row>
    <row r="678" spans="1:11" ht="14.25" customHeight="1" x14ac:dyDescent="0.2">
      <c r="A678" s="604">
        <v>2</v>
      </c>
      <c r="B678" s="606"/>
      <c r="C678" s="606"/>
      <c r="D678" s="608"/>
      <c r="E678" s="610"/>
      <c r="F678" s="610"/>
      <c r="G678" s="610"/>
      <c r="H678" s="610"/>
      <c r="I678" s="610"/>
      <c r="J678" s="610"/>
      <c r="K678" s="610"/>
    </row>
    <row r="679" spans="1:11" ht="15" customHeight="1" thickBot="1" x14ac:dyDescent="0.25">
      <c r="A679" s="605"/>
      <c r="B679" s="607"/>
      <c r="C679" s="607"/>
      <c r="D679" s="609"/>
      <c r="E679" s="611"/>
      <c r="F679" s="611"/>
      <c r="G679" s="611"/>
      <c r="H679" s="611"/>
      <c r="I679" s="611"/>
      <c r="J679" s="611"/>
      <c r="K679" s="611"/>
    </row>
    <row r="680" spans="1:11" ht="14.25" customHeight="1" x14ac:dyDescent="0.2">
      <c r="A680" s="604">
        <v>3</v>
      </c>
      <c r="B680" s="606"/>
      <c r="C680" s="608"/>
      <c r="D680" s="608"/>
      <c r="E680" s="610"/>
      <c r="F680" s="610"/>
      <c r="G680" s="610"/>
      <c r="H680" s="610"/>
      <c r="I680" s="610"/>
      <c r="J680" s="610"/>
      <c r="K680" s="610"/>
    </row>
    <row r="681" spans="1:11" ht="15" customHeight="1" thickBot="1" x14ac:dyDescent="0.25">
      <c r="A681" s="605"/>
      <c r="B681" s="607"/>
      <c r="C681" s="609"/>
      <c r="D681" s="609"/>
      <c r="E681" s="611"/>
      <c r="F681" s="611"/>
      <c r="G681" s="611"/>
      <c r="H681" s="611"/>
      <c r="I681" s="611"/>
      <c r="J681" s="611"/>
      <c r="K681" s="611"/>
    </row>
    <row r="682" spans="1:11" ht="23.25" customHeight="1" x14ac:dyDescent="0.2">
      <c r="A682" s="260">
        <v>4</v>
      </c>
      <c r="B682" s="606"/>
      <c r="C682" s="608"/>
      <c r="D682" s="608"/>
      <c r="E682" s="610"/>
      <c r="F682" s="610"/>
      <c r="G682" s="610"/>
      <c r="H682" s="610"/>
      <c r="I682" s="610"/>
      <c r="J682" s="610"/>
      <c r="K682" s="610"/>
    </row>
    <row r="683" spans="1:11" ht="24" customHeight="1" thickBot="1" x14ac:dyDescent="0.25">
      <c r="A683" s="261"/>
      <c r="B683" s="607"/>
      <c r="C683" s="609"/>
      <c r="D683" s="609"/>
      <c r="E683" s="611"/>
      <c r="F683" s="611"/>
      <c r="G683" s="611"/>
      <c r="H683" s="611"/>
      <c r="I683" s="611"/>
      <c r="J683" s="611"/>
      <c r="K683" s="611"/>
    </row>
    <row r="684" spans="1:11" x14ac:dyDescent="0.2">
      <c r="A684" s="596" t="s">
        <v>137</v>
      </c>
      <c r="B684" s="597"/>
      <c r="C684" s="597"/>
      <c r="D684" s="597"/>
      <c r="E684" s="597"/>
      <c r="F684" s="597"/>
      <c r="G684" s="597"/>
      <c r="H684" s="597"/>
      <c r="I684" s="597"/>
      <c r="J684" s="597"/>
      <c r="K684" s="598"/>
    </row>
    <row r="685" spans="1:11" x14ac:dyDescent="0.2">
      <c r="A685" s="599"/>
      <c r="B685" s="383"/>
      <c r="C685" s="383"/>
      <c r="D685" s="383"/>
      <c r="E685" s="383"/>
      <c r="F685" s="383"/>
      <c r="G685" s="383"/>
      <c r="H685" s="383"/>
      <c r="I685" s="383"/>
      <c r="J685" s="383"/>
      <c r="K685" s="600"/>
    </row>
    <row r="686" spans="1:11" x14ac:dyDescent="0.2">
      <c r="A686" s="599"/>
      <c r="B686" s="383"/>
      <c r="C686" s="383"/>
      <c r="D686" s="383"/>
      <c r="E686" s="383"/>
      <c r="F686" s="383"/>
      <c r="G686" s="383"/>
      <c r="H686" s="383"/>
      <c r="I686" s="383"/>
      <c r="J686" s="383"/>
      <c r="K686" s="600"/>
    </row>
    <row r="687" spans="1:11" ht="15" thickBot="1" x14ac:dyDescent="0.25">
      <c r="A687" s="601"/>
      <c r="B687" s="602"/>
      <c r="C687" s="602"/>
      <c r="D687" s="602"/>
      <c r="E687" s="602"/>
      <c r="F687" s="602"/>
      <c r="G687" s="602"/>
      <c r="H687" s="602"/>
      <c r="I687" s="602"/>
      <c r="J687" s="602"/>
      <c r="K687" s="603"/>
    </row>
    <row r="689" spans="1:9" ht="15.75" x14ac:dyDescent="0.25">
      <c r="A689" s="163" t="s">
        <v>188</v>
      </c>
      <c r="G689" s="345" t="s">
        <v>189</v>
      </c>
      <c r="H689" s="345"/>
      <c r="I689" s="345"/>
    </row>
    <row r="690" spans="1:9" x14ac:dyDescent="0.2">
      <c r="G690" s="456"/>
      <c r="H690" s="456"/>
      <c r="I690" s="456"/>
    </row>
    <row r="691" spans="1:9" x14ac:dyDescent="0.2">
      <c r="A691" t="s">
        <v>108</v>
      </c>
      <c r="B691" t="s">
        <v>300</v>
      </c>
      <c r="G691" s="456"/>
      <c r="H691" s="456"/>
      <c r="I691" s="456"/>
    </row>
  </sheetData>
  <mergeCells count="1005">
    <mergeCell ref="A538:A539"/>
    <mergeCell ref="B538:B539"/>
    <mergeCell ref="C538:C539"/>
    <mergeCell ref="D538:D539"/>
    <mergeCell ref="E538:K539"/>
    <mergeCell ref="A544:K547"/>
    <mergeCell ref="G549:I549"/>
    <mergeCell ref="G550:I550"/>
    <mergeCell ref="G551:I551"/>
    <mergeCell ref="A540:A541"/>
    <mergeCell ref="B540:B541"/>
    <mergeCell ref="C540:C541"/>
    <mergeCell ref="D540:D541"/>
    <mergeCell ref="E540:K541"/>
    <mergeCell ref="B542:B543"/>
    <mergeCell ref="C542:C543"/>
    <mergeCell ref="D542:D543"/>
    <mergeCell ref="E542:K543"/>
    <mergeCell ref="A530:A531"/>
    <mergeCell ref="B530:B531"/>
    <mergeCell ref="C530:C531"/>
    <mergeCell ref="D530:D531"/>
    <mergeCell ref="E530:K531"/>
    <mergeCell ref="A532:A533"/>
    <mergeCell ref="B532:B533"/>
    <mergeCell ref="C532:C533"/>
    <mergeCell ref="D532:D533"/>
    <mergeCell ref="E532:K533"/>
    <mergeCell ref="A534:A535"/>
    <mergeCell ref="B534:B535"/>
    <mergeCell ref="C534:C535"/>
    <mergeCell ref="D534:D535"/>
    <mergeCell ref="E534:K535"/>
    <mergeCell ref="A536:A537"/>
    <mergeCell ref="B536:B537"/>
    <mergeCell ref="C536:C537"/>
    <mergeCell ref="D536:D537"/>
    <mergeCell ref="E536:K537"/>
    <mergeCell ref="A522:A523"/>
    <mergeCell ref="B522:B523"/>
    <mergeCell ref="C522:C523"/>
    <mergeCell ref="D522:D523"/>
    <mergeCell ref="E522:K523"/>
    <mergeCell ref="A524:A525"/>
    <mergeCell ref="B524:B525"/>
    <mergeCell ref="C524:C525"/>
    <mergeCell ref="D524:D525"/>
    <mergeCell ref="E524:K525"/>
    <mergeCell ref="A526:A527"/>
    <mergeCell ref="B526:B527"/>
    <mergeCell ref="C526:C527"/>
    <mergeCell ref="D526:D527"/>
    <mergeCell ref="E526:K527"/>
    <mergeCell ref="A528:A529"/>
    <mergeCell ref="B528:B529"/>
    <mergeCell ref="C528:C529"/>
    <mergeCell ref="D528:D529"/>
    <mergeCell ref="E528:K529"/>
    <mergeCell ref="A514:A515"/>
    <mergeCell ref="B514:B515"/>
    <mergeCell ref="C514:C515"/>
    <mergeCell ref="D514:D515"/>
    <mergeCell ref="E514:K515"/>
    <mergeCell ref="A516:A517"/>
    <mergeCell ref="B516:B517"/>
    <mergeCell ref="C516:C517"/>
    <mergeCell ref="D516:D517"/>
    <mergeCell ref="E516:K517"/>
    <mergeCell ref="A518:A519"/>
    <mergeCell ref="B518:B519"/>
    <mergeCell ref="C518:C519"/>
    <mergeCell ref="D518:D519"/>
    <mergeCell ref="E518:K519"/>
    <mergeCell ref="A520:A521"/>
    <mergeCell ref="B520:B521"/>
    <mergeCell ref="C520:C521"/>
    <mergeCell ref="D520:D521"/>
    <mergeCell ref="E520:K521"/>
    <mergeCell ref="A475:K478"/>
    <mergeCell ref="G480:I480"/>
    <mergeCell ref="G481:I481"/>
    <mergeCell ref="G482:I482"/>
    <mergeCell ref="G483:I483"/>
    <mergeCell ref="G484:I484"/>
    <mergeCell ref="E507:G507"/>
    <mergeCell ref="E508:G508"/>
    <mergeCell ref="A510:A511"/>
    <mergeCell ref="B510:B511"/>
    <mergeCell ref="C510:C511"/>
    <mergeCell ref="D510:D511"/>
    <mergeCell ref="E510:K511"/>
    <mergeCell ref="A512:A513"/>
    <mergeCell ref="B512:B513"/>
    <mergeCell ref="C512:C513"/>
    <mergeCell ref="D512:D513"/>
    <mergeCell ref="E512:K513"/>
    <mergeCell ref="A467:A468"/>
    <mergeCell ref="B467:B468"/>
    <mergeCell ref="C467:C468"/>
    <mergeCell ref="D467:D468"/>
    <mergeCell ref="E467:K468"/>
    <mergeCell ref="A469:A470"/>
    <mergeCell ref="B469:B470"/>
    <mergeCell ref="C469:C470"/>
    <mergeCell ref="D469:D470"/>
    <mergeCell ref="E469:K470"/>
    <mergeCell ref="A471:A472"/>
    <mergeCell ref="B471:B472"/>
    <mergeCell ref="C471:C472"/>
    <mergeCell ref="D471:D472"/>
    <mergeCell ref="E471:K472"/>
    <mergeCell ref="A473:A474"/>
    <mergeCell ref="B473:B474"/>
    <mergeCell ref="C473:C474"/>
    <mergeCell ref="D473:D474"/>
    <mergeCell ref="E473:K474"/>
    <mergeCell ref="A459:A460"/>
    <mergeCell ref="B459:B460"/>
    <mergeCell ref="C459:C460"/>
    <mergeCell ref="D459:D460"/>
    <mergeCell ref="E459:K460"/>
    <mergeCell ref="A461:A462"/>
    <mergeCell ref="B461:B462"/>
    <mergeCell ref="C461:C462"/>
    <mergeCell ref="D461:D462"/>
    <mergeCell ref="E461:K462"/>
    <mergeCell ref="A463:A464"/>
    <mergeCell ref="B463:B464"/>
    <mergeCell ref="C463:C464"/>
    <mergeCell ref="D463:D464"/>
    <mergeCell ref="E463:K464"/>
    <mergeCell ref="A465:A466"/>
    <mergeCell ref="B465:B466"/>
    <mergeCell ref="C465:C466"/>
    <mergeCell ref="D465:D466"/>
    <mergeCell ref="E465:K466"/>
    <mergeCell ref="A451:A452"/>
    <mergeCell ref="B451:B452"/>
    <mergeCell ref="C451:C452"/>
    <mergeCell ref="D451:D452"/>
    <mergeCell ref="E451:K452"/>
    <mergeCell ref="A453:A454"/>
    <mergeCell ref="B453:B454"/>
    <mergeCell ref="C453:C454"/>
    <mergeCell ref="D453:D454"/>
    <mergeCell ref="E453:K454"/>
    <mergeCell ref="A455:A456"/>
    <mergeCell ref="B455:B456"/>
    <mergeCell ref="C455:C456"/>
    <mergeCell ref="D455:D456"/>
    <mergeCell ref="E455:K456"/>
    <mergeCell ref="A457:A458"/>
    <mergeCell ref="B457:B458"/>
    <mergeCell ref="C457:C458"/>
    <mergeCell ref="D457:D458"/>
    <mergeCell ref="E457:K458"/>
    <mergeCell ref="A443:A444"/>
    <mergeCell ref="B443:B444"/>
    <mergeCell ref="C443:C444"/>
    <mergeCell ref="D443:D444"/>
    <mergeCell ref="E443:K444"/>
    <mergeCell ref="A445:A446"/>
    <mergeCell ref="B445:B446"/>
    <mergeCell ref="C445:C446"/>
    <mergeCell ref="D445:D446"/>
    <mergeCell ref="E445:K446"/>
    <mergeCell ref="A447:A448"/>
    <mergeCell ref="B447:B448"/>
    <mergeCell ref="C447:C448"/>
    <mergeCell ref="D447:D448"/>
    <mergeCell ref="E447:K448"/>
    <mergeCell ref="A449:A450"/>
    <mergeCell ref="B449:B450"/>
    <mergeCell ref="C449:C450"/>
    <mergeCell ref="D449:D450"/>
    <mergeCell ref="E449:K450"/>
    <mergeCell ref="G51:I51"/>
    <mergeCell ref="G52:I52"/>
    <mergeCell ref="A41:A42"/>
    <mergeCell ref="B41:B42"/>
    <mergeCell ref="C41:C42"/>
    <mergeCell ref="D41:D42"/>
    <mergeCell ref="E41:K42"/>
    <mergeCell ref="A43:K46"/>
    <mergeCell ref="G48:I48"/>
    <mergeCell ref="G49:I49"/>
    <mergeCell ref="G50:I50"/>
    <mergeCell ref="E438:G438"/>
    <mergeCell ref="E439:G439"/>
    <mergeCell ref="A441:A442"/>
    <mergeCell ref="B441:B442"/>
    <mergeCell ref="C441:C442"/>
    <mergeCell ref="D441:D442"/>
    <mergeCell ref="E441:K442"/>
    <mergeCell ref="B345:B346"/>
    <mergeCell ref="C345:C346"/>
    <mergeCell ref="D345:D346"/>
    <mergeCell ref="E345:E346"/>
    <mergeCell ref="F345:L346"/>
    <mergeCell ref="B351:B352"/>
    <mergeCell ref="C351:C352"/>
    <mergeCell ref="D351:D352"/>
    <mergeCell ref="E351:E352"/>
    <mergeCell ref="F351:L352"/>
    <mergeCell ref="B353:L356"/>
    <mergeCell ref="H358:J358"/>
    <mergeCell ref="H359:J359"/>
    <mergeCell ref="B347:B348"/>
    <mergeCell ref="A33:A34"/>
    <mergeCell ref="B33:B34"/>
    <mergeCell ref="C33:C34"/>
    <mergeCell ref="D33:D34"/>
    <mergeCell ref="E33:K34"/>
    <mergeCell ref="A35:A36"/>
    <mergeCell ref="B35:B36"/>
    <mergeCell ref="C35:C36"/>
    <mergeCell ref="D35:D36"/>
    <mergeCell ref="E35:K36"/>
    <mergeCell ref="A37:A38"/>
    <mergeCell ref="B37:B38"/>
    <mergeCell ref="C37:C38"/>
    <mergeCell ref="D37:D38"/>
    <mergeCell ref="E37:K38"/>
    <mergeCell ref="A39:A40"/>
    <mergeCell ref="B39:B40"/>
    <mergeCell ref="C39:C40"/>
    <mergeCell ref="D39:D40"/>
    <mergeCell ref="E39:K40"/>
    <mergeCell ref="A25:A26"/>
    <mergeCell ref="B25:B26"/>
    <mergeCell ref="C25:C26"/>
    <mergeCell ref="D25:D26"/>
    <mergeCell ref="E25:K26"/>
    <mergeCell ref="A27:A28"/>
    <mergeCell ref="B27:B28"/>
    <mergeCell ref="C27:C28"/>
    <mergeCell ref="D27:D28"/>
    <mergeCell ref="E27:K28"/>
    <mergeCell ref="A29:A30"/>
    <mergeCell ref="B29:B30"/>
    <mergeCell ref="C29:C30"/>
    <mergeCell ref="D29:D30"/>
    <mergeCell ref="E29:K30"/>
    <mergeCell ref="A31:A32"/>
    <mergeCell ref="B31:B32"/>
    <mergeCell ref="C31:C32"/>
    <mergeCell ref="D31:D32"/>
    <mergeCell ref="E31:K32"/>
    <mergeCell ref="A17:A18"/>
    <mergeCell ref="B17:B18"/>
    <mergeCell ref="C17:C18"/>
    <mergeCell ref="D17:D18"/>
    <mergeCell ref="E17:K18"/>
    <mergeCell ref="A19:A20"/>
    <mergeCell ref="B19:B20"/>
    <mergeCell ref="C19:C20"/>
    <mergeCell ref="D19:D20"/>
    <mergeCell ref="E19:K20"/>
    <mergeCell ref="A21:A22"/>
    <mergeCell ref="B21:B22"/>
    <mergeCell ref="C21:C22"/>
    <mergeCell ref="D21:D22"/>
    <mergeCell ref="E21:K22"/>
    <mergeCell ref="A23:A24"/>
    <mergeCell ref="B23:B24"/>
    <mergeCell ref="C23:C24"/>
    <mergeCell ref="D23:D24"/>
    <mergeCell ref="E23:K24"/>
    <mergeCell ref="A13:A14"/>
    <mergeCell ref="B13:B14"/>
    <mergeCell ref="C13:C14"/>
    <mergeCell ref="D13:D14"/>
    <mergeCell ref="E13:K14"/>
    <mergeCell ref="A15:A16"/>
    <mergeCell ref="B15:B16"/>
    <mergeCell ref="C15:C16"/>
    <mergeCell ref="D15:D16"/>
    <mergeCell ref="E15:K16"/>
    <mergeCell ref="E6:G6"/>
    <mergeCell ref="E7:G7"/>
    <mergeCell ref="A9:A10"/>
    <mergeCell ref="B9:B10"/>
    <mergeCell ref="C9:C10"/>
    <mergeCell ref="D9:D10"/>
    <mergeCell ref="E9:K10"/>
    <mergeCell ref="A11:A12"/>
    <mergeCell ref="B11:B12"/>
    <mergeCell ref="C11:C12"/>
    <mergeCell ref="D11:D12"/>
    <mergeCell ref="E11:K12"/>
    <mergeCell ref="B349:B350"/>
    <mergeCell ref="D349:D350"/>
    <mergeCell ref="E349:E350"/>
    <mergeCell ref="F349:L350"/>
    <mergeCell ref="B337:B338"/>
    <mergeCell ref="C337:C338"/>
    <mergeCell ref="D337:D338"/>
    <mergeCell ref="E337:E338"/>
    <mergeCell ref="F337:L338"/>
    <mergeCell ref="B339:B340"/>
    <mergeCell ref="C339:C340"/>
    <mergeCell ref="D339:D340"/>
    <mergeCell ref="E339:E340"/>
    <mergeCell ref="F339:L340"/>
    <mergeCell ref="B341:B342"/>
    <mergeCell ref="C341:C342"/>
    <mergeCell ref="D341:D342"/>
    <mergeCell ref="E341:E342"/>
    <mergeCell ref="F341:L342"/>
    <mergeCell ref="B343:B344"/>
    <mergeCell ref="C343:C344"/>
    <mergeCell ref="D343:D344"/>
    <mergeCell ref="E343:E344"/>
    <mergeCell ref="F343:L344"/>
    <mergeCell ref="B331:B332"/>
    <mergeCell ref="C331:C332"/>
    <mergeCell ref="D331:D332"/>
    <mergeCell ref="E331:E332"/>
    <mergeCell ref="F331:L332"/>
    <mergeCell ref="B333:B334"/>
    <mergeCell ref="C333:C334"/>
    <mergeCell ref="D333:D334"/>
    <mergeCell ref="E333:E334"/>
    <mergeCell ref="F333:L334"/>
    <mergeCell ref="B335:B336"/>
    <mergeCell ref="C335:C336"/>
    <mergeCell ref="D335:D336"/>
    <mergeCell ref="E335:E336"/>
    <mergeCell ref="F335:L336"/>
    <mergeCell ref="C347:C348"/>
    <mergeCell ref="D347:D348"/>
    <mergeCell ref="E347:E348"/>
    <mergeCell ref="F347:L348"/>
    <mergeCell ref="B323:B324"/>
    <mergeCell ref="C323:C324"/>
    <mergeCell ref="D323:D324"/>
    <mergeCell ref="E323:E324"/>
    <mergeCell ref="F323:L324"/>
    <mergeCell ref="B325:B326"/>
    <mergeCell ref="C325:C326"/>
    <mergeCell ref="D325:D326"/>
    <mergeCell ref="E325:E326"/>
    <mergeCell ref="F325:L326"/>
    <mergeCell ref="B327:B328"/>
    <mergeCell ref="C327:C328"/>
    <mergeCell ref="D327:D328"/>
    <mergeCell ref="E327:E328"/>
    <mergeCell ref="F327:L328"/>
    <mergeCell ref="B329:B330"/>
    <mergeCell ref="C329:C330"/>
    <mergeCell ref="D329:D330"/>
    <mergeCell ref="E329:E330"/>
    <mergeCell ref="F329:L330"/>
    <mergeCell ref="B293:B294"/>
    <mergeCell ref="C293:C294"/>
    <mergeCell ref="D293:D294"/>
    <mergeCell ref="E293:K294"/>
    <mergeCell ref="A295:K298"/>
    <mergeCell ref="G300:I300"/>
    <mergeCell ref="G301:I301"/>
    <mergeCell ref="G302:I302"/>
    <mergeCell ref="G303:I303"/>
    <mergeCell ref="F316:H316"/>
    <mergeCell ref="F317:H317"/>
    <mergeCell ref="B319:B320"/>
    <mergeCell ref="C319:C320"/>
    <mergeCell ref="D319:D320"/>
    <mergeCell ref="E319:E320"/>
    <mergeCell ref="F319:L320"/>
    <mergeCell ref="B321:B322"/>
    <mergeCell ref="C321:C322"/>
    <mergeCell ref="D321:D322"/>
    <mergeCell ref="E321:E322"/>
    <mergeCell ref="F321:L322"/>
    <mergeCell ref="A285:A286"/>
    <mergeCell ref="B285:B286"/>
    <mergeCell ref="C285:C286"/>
    <mergeCell ref="D285:D286"/>
    <mergeCell ref="E285:K286"/>
    <mergeCell ref="A287:A288"/>
    <mergeCell ref="B287:B288"/>
    <mergeCell ref="C287:C288"/>
    <mergeCell ref="D287:D288"/>
    <mergeCell ref="E287:K288"/>
    <mergeCell ref="A289:A290"/>
    <mergeCell ref="B289:B290"/>
    <mergeCell ref="C289:C290"/>
    <mergeCell ref="D289:D290"/>
    <mergeCell ref="E289:K290"/>
    <mergeCell ref="A291:A292"/>
    <mergeCell ref="B291:B292"/>
    <mergeCell ref="C291:C292"/>
    <mergeCell ref="D291:D292"/>
    <mergeCell ref="E291:K292"/>
    <mergeCell ref="A277:A278"/>
    <mergeCell ref="B277:B278"/>
    <mergeCell ref="C277:C278"/>
    <mergeCell ref="D277:D278"/>
    <mergeCell ref="E277:K278"/>
    <mergeCell ref="A279:A280"/>
    <mergeCell ref="B279:B280"/>
    <mergeCell ref="C279:C280"/>
    <mergeCell ref="D279:D280"/>
    <mergeCell ref="E279:K280"/>
    <mergeCell ref="A281:A282"/>
    <mergeCell ref="B281:B282"/>
    <mergeCell ref="C281:C282"/>
    <mergeCell ref="D281:D282"/>
    <mergeCell ref="E281:K282"/>
    <mergeCell ref="A283:A284"/>
    <mergeCell ref="B283:B284"/>
    <mergeCell ref="C283:C284"/>
    <mergeCell ref="D283:D284"/>
    <mergeCell ref="E283:K284"/>
    <mergeCell ref="A269:A270"/>
    <mergeCell ref="B269:B270"/>
    <mergeCell ref="C269:C270"/>
    <mergeCell ref="D269:D270"/>
    <mergeCell ref="E269:K270"/>
    <mergeCell ref="A271:A272"/>
    <mergeCell ref="B271:B272"/>
    <mergeCell ref="C271:C272"/>
    <mergeCell ref="D271:D272"/>
    <mergeCell ref="E271:K272"/>
    <mergeCell ref="A273:A274"/>
    <mergeCell ref="B273:B274"/>
    <mergeCell ref="C273:C274"/>
    <mergeCell ref="D273:D274"/>
    <mergeCell ref="E273:K274"/>
    <mergeCell ref="A275:A276"/>
    <mergeCell ref="B275:B276"/>
    <mergeCell ref="C275:C276"/>
    <mergeCell ref="D275:D276"/>
    <mergeCell ref="E275:K276"/>
    <mergeCell ref="E259:G259"/>
    <mergeCell ref="A261:A262"/>
    <mergeCell ref="B261:B262"/>
    <mergeCell ref="C261:C262"/>
    <mergeCell ref="D261:D262"/>
    <mergeCell ref="E261:K262"/>
    <mergeCell ref="A263:A264"/>
    <mergeCell ref="B263:B264"/>
    <mergeCell ref="C263:C264"/>
    <mergeCell ref="D263:D264"/>
    <mergeCell ref="E263:K264"/>
    <mergeCell ref="A265:A266"/>
    <mergeCell ref="B265:B266"/>
    <mergeCell ref="C265:C266"/>
    <mergeCell ref="D265:D266"/>
    <mergeCell ref="E265:K266"/>
    <mergeCell ref="A267:A268"/>
    <mergeCell ref="B267:B268"/>
    <mergeCell ref="C267:C268"/>
    <mergeCell ref="D267:D268"/>
    <mergeCell ref="E267:K268"/>
    <mergeCell ref="A222:A223"/>
    <mergeCell ref="B222:B223"/>
    <mergeCell ref="C222:C223"/>
    <mergeCell ref="D222:D223"/>
    <mergeCell ref="E222:K223"/>
    <mergeCell ref="G234:I234"/>
    <mergeCell ref="G235:I235"/>
    <mergeCell ref="A224:A225"/>
    <mergeCell ref="B224:B225"/>
    <mergeCell ref="C224:C225"/>
    <mergeCell ref="D224:D225"/>
    <mergeCell ref="E224:K225"/>
    <mergeCell ref="A226:K229"/>
    <mergeCell ref="G231:I231"/>
    <mergeCell ref="G232:I232"/>
    <mergeCell ref="G233:I233"/>
    <mergeCell ref="E258:G258"/>
    <mergeCell ref="A214:A215"/>
    <mergeCell ref="B214:B215"/>
    <mergeCell ref="C214:C215"/>
    <mergeCell ref="D214:D215"/>
    <mergeCell ref="E214:K215"/>
    <mergeCell ref="A216:A217"/>
    <mergeCell ref="B216:B217"/>
    <mergeCell ref="C216:C217"/>
    <mergeCell ref="D216:D217"/>
    <mergeCell ref="E216:K217"/>
    <mergeCell ref="A218:A219"/>
    <mergeCell ref="B218:B219"/>
    <mergeCell ref="C218:C219"/>
    <mergeCell ref="D218:D219"/>
    <mergeCell ref="E218:K219"/>
    <mergeCell ref="A220:A221"/>
    <mergeCell ref="B220:B221"/>
    <mergeCell ref="C220:C221"/>
    <mergeCell ref="D220:D221"/>
    <mergeCell ref="E220:K221"/>
    <mergeCell ref="A206:A207"/>
    <mergeCell ref="B206:B207"/>
    <mergeCell ref="C206:C207"/>
    <mergeCell ref="D206:D207"/>
    <mergeCell ref="E206:K207"/>
    <mergeCell ref="A208:A209"/>
    <mergeCell ref="B208:B209"/>
    <mergeCell ref="C208:C209"/>
    <mergeCell ref="D208:D209"/>
    <mergeCell ref="E208:K209"/>
    <mergeCell ref="A210:A211"/>
    <mergeCell ref="B210:B211"/>
    <mergeCell ref="C210:C211"/>
    <mergeCell ref="D210:D211"/>
    <mergeCell ref="E210:K211"/>
    <mergeCell ref="A212:A213"/>
    <mergeCell ref="B212:B213"/>
    <mergeCell ref="C212:C213"/>
    <mergeCell ref="D212:D213"/>
    <mergeCell ref="E212:K213"/>
    <mergeCell ref="A198:A199"/>
    <mergeCell ref="B198:B199"/>
    <mergeCell ref="C198:C199"/>
    <mergeCell ref="D198:D199"/>
    <mergeCell ref="E198:K199"/>
    <mergeCell ref="A200:A201"/>
    <mergeCell ref="B200:B201"/>
    <mergeCell ref="C200:C201"/>
    <mergeCell ref="D200:D201"/>
    <mergeCell ref="E200:K201"/>
    <mergeCell ref="A202:A203"/>
    <mergeCell ref="B202:B203"/>
    <mergeCell ref="C202:C203"/>
    <mergeCell ref="D202:D203"/>
    <mergeCell ref="E202:K203"/>
    <mergeCell ref="A204:A205"/>
    <mergeCell ref="B204:B205"/>
    <mergeCell ref="C204:C205"/>
    <mergeCell ref="D204:D205"/>
    <mergeCell ref="E204:K205"/>
    <mergeCell ref="E189:G189"/>
    <mergeCell ref="E190:G190"/>
    <mergeCell ref="A192:A193"/>
    <mergeCell ref="B192:B193"/>
    <mergeCell ref="C192:C193"/>
    <mergeCell ref="D192:D193"/>
    <mergeCell ref="E192:K193"/>
    <mergeCell ref="A194:A195"/>
    <mergeCell ref="B194:B195"/>
    <mergeCell ref="C194:C195"/>
    <mergeCell ref="D194:D195"/>
    <mergeCell ref="E194:K195"/>
    <mergeCell ref="A196:A197"/>
    <mergeCell ref="B196:B197"/>
    <mergeCell ref="C196:C197"/>
    <mergeCell ref="D196:D197"/>
    <mergeCell ref="E196:K197"/>
    <mergeCell ref="A158:A159"/>
    <mergeCell ref="C158:C159"/>
    <mergeCell ref="D158:D159"/>
    <mergeCell ref="E158:K159"/>
    <mergeCell ref="A156:A157"/>
    <mergeCell ref="B156:B157"/>
    <mergeCell ref="C156:C157"/>
    <mergeCell ref="D156:D157"/>
    <mergeCell ref="E156:K157"/>
    <mergeCell ref="G171:I171"/>
    <mergeCell ref="A162:K165"/>
    <mergeCell ref="G167:I167"/>
    <mergeCell ref="G168:I168"/>
    <mergeCell ref="G169:I169"/>
    <mergeCell ref="G170:I170"/>
    <mergeCell ref="A160:A161"/>
    <mergeCell ref="B160:B161"/>
    <mergeCell ref="C160:C161"/>
    <mergeCell ref="D160:D161"/>
    <mergeCell ref="E160:K161"/>
    <mergeCell ref="A150:A151"/>
    <mergeCell ref="B150:B151"/>
    <mergeCell ref="C150:C151"/>
    <mergeCell ref="D150:D151"/>
    <mergeCell ref="E150:K151"/>
    <mergeCell ref="A148:A149"/>
    <mergeCell ref="B148:B149"/>
    <mergeCell ref="C148:C149"/>
    <mergeCell ref="D148:D149"/>
    <mergeCell ref="E148:K149"/>
    <mergeCell ref="A154:A155"/>
    <mergeCell ref="B154:B155"/>
    <mergeCell ref="C154:C155"/>
    <mergeCell ref="D154:D155"/>
    <mergeCell ref="E154:K155"/>
    <mergeCell ref="A152:A153"/>
    <mergeCell ref="B152:B153"/>
    <mergeCell ref="C152:C153"/>
    <mergeCell ref="D152:D153"/>
    <mergeCell ref="E152:K153"/>
    <mergeCell ref="A142:A143"/>
    <mergeCell ref="B142:B143"/>
    <mergeCell ref="C142:C143"/>
    <mergeCell ref="D142:D143"/>
    <mergeCell ref="E142:K143"/>
    <mergeCell ref="A140:A141"/>
    <mergeCell ref="B140:B141"/>
    <mergeCell ref="C140:C141"/>
    <mergeCell ref="D140:D141"/>
    <mergeCell ref="E140:K141"/>
    <mergeCell ref="A146:A147"/>
    <mergeCell ref="B146:B147"/>
    <mergeCell ref="C146:C147"/>
    <mergeCell ref="D146:D147"/>
    <mergeCell ref="E146:K147"/>
    <mergeCell ref="A144:A145"/>
    <mergeCell ref="B144:B145"/>
    <mergeCell ref="C144:C145"/>
    <mergeCell ref="D144:D145"/>
    <mergeCell ref="E144:K145"/>
    <mergeCell ref="A134:A135"/>
    <mergeCell ref="B134:B135"/>
    <mergeCell ref="C134:C135"/>
    <mergeCell ref="D134:D135"/>
    <mergeCell ref="E134:K135"/>
    <mergeCell ref="A132:A133"/>
    <mergeCell ref="B132:B133"/>
    <mergeCell ref="C132:C133"/>
    <mergeCell ref="D132:D133"/>
    <mergeCell ref="E132:K133"/>
    <mergeCell ref="A138:A139"/>
    <mergeCell ref="B138:B139"/>
    <mergeCell ref="C138:C139"/>
    <mergeCell ref="D138:D139"/>
    <mergeCell ref="E138:K139"/>
    <mergeCell ref="A136:A137"/>
    <mergeCell ref="B136:B137"/>
    <mergeCell ref="C136:C137"/>
    <mergeCell ref="D136:D137"/>
    <mergeCell ref="E136:K137"/>
    <mergeCell ref="E61:G61"/>
    <mergeCell ref="E62:G62"/>
    <mergeCell ref="A64:A65"/>
    <mergeCell ref="B64:B65"/>
    <mergeCell ref="C64:C65"/>
    <mergeCell ref="D64:D65"/>
    <mergeCell ref="E64:K65"/>
    <mergeCell ref="A68:A69"/>
    <mergeCell ref="B68:B69"/>
    <mergeCell ref="C68:C69"/>
    <mergeCell ref="D68:D69"/>
    <mergeCell ref="E68:K69"/>
    <mergeCell ref="A66:A67"/>
    <mergeCell ref="B66:B67"/>
    <mergeCell ref="C66:C67"/>
    <mergeCell ref="D66:D67"/>
    <mergeCell ref="E66:K67"/>
    <mergeCell ref="A76:A77"/>
    <mergeCell ref="B76:B77"/>
    <mergeCell ref="C76:C77"/>
    <mergeCell ref="D76:D77"/>
    <mergeCell ref="E76:K77"/>
    <mergeCell ref="A74:A75"/>
    <mergeCell ref="B74:B75"/>
    <mergeCell ref="C74:C75"/>
    <mergeCell ref="D74:D75"/>
    <mergeCell ref="E74:K75"/>
    <mergeCell ref="A72:A73"/>
    <mergeCell ref="B72:B73"/>
    <mergeCell ref="C72:C73"/>
    <mergeCell ref="D72:D73"/>
    <mergeCell ref="E72:K73"/>
    <mergeCell ref="A70:A71"/>
    <mergeCell ref="B70:B71"/>
    <mergeCell ref="C70:C71"/>
    <mergeCell ref="D70:D71"/>
    <mergeCell ref="E70:K71"/>
    <mergeCell ref="A84:A85"/>
    <mergeCell ref="B84:B85"/>
    <mergeCell ref="C84:C85"/>
    <mergeCell ref="D84:D85"/>
    <mergeCell ref="E84:K85"/>
    <mergeCell ref="A82:A83"/>
    <mergeCell ref="B82:B83"/>
    <mergeCell ref="C82:C83"/>
    <mergeCell ref="D82:D83"/>
    <mergeCell ref="E82:K83"/>
    <mergeCell ref="A80:A81"/>
    <mergeCell ref="B80:B81"/>
    <mergeCell ref="C80:C81"/>
    <mergeCell ref="D80:D81"/>
    <mergeCell ref="E80:K81"/>
    <mergeCell ref="A78:A79"/>
    <mergeCell ref="B78:B79"/>
    <mergeCell ref="C78:C79"/>
    <mergeCell ref="D78:D79"/>
    <mergeCell ref="E78:K79"/>
    <mergeCell ref="A92:A93"/>
    <mergeCell ref="B92:B93"/>
    <mergeCell ref="C92:C93"/>
    <mergeCell ref="D92:D93"/>
    <mergeCell ref="E92:K93"/>
    <mergeCell ref="A90:A91"/>
    <mergeCell ref="B90:B91"/>
    <mergeCell ref="C90:C91"/>
    <mergeCell ref="D90:D91"/>
    <mergeCell ref="E90:K91"/>
    <mergeCell ref="A88:A89"/>
    <mergeCell ref="B88:B89"/>
    <mergeCell ref="C88:C89"/>
    <mergeCell ref="D88:D89"/>
    <mergeCell ref="E88:K89"/>
    <mergeCell ref="A86:A87"/>
    <mergeCell ref="B86:B87"/>
    <mergeCell ref="C86:C87"/>
    <mergeCell ref="D86:D87"/>
    <mergeCell ref="E86:K87"/>
    <mergeCell ref="G107:I107"/>
    <mergeCell ref="A94:A95"/>
    <mergeCell ref="B94:B95"/>
    <mergeCell ref="C94:C95"/>
    <mergeCell ref="D94:D95"/>
    <mergeCell ref="E94:K95"/>
    <mergeCell ref="A96:A97"/>
    <mergeCell ref="B96:B97"/>
    <mergeCell ref="C96:C97"/>
    <mergeCell ref="D96:D97"/>
    <mergeCell ref="E96:K97"/>
    <mergeCell ref="A98:K101"/>
    <mergeCell ref="G103:I103"/>
    <mergeCell ref="G104:I104"/>
    <mergeCell ref="G105:I105"/>
    <mergeCell ref="G106:I106"/>
    <mergeCell ref="A130:A131"/>
    <mergeCell ref="B130:B131"/>
    <mergeCell ref="C130:C131"/>
    <mergeCell ref="D130:D131"/>
    <mergeCell ref="E130:K131"/>
    <mergeCell ref="E125:G125"/>
    <mergeCell ref="E126:G126"/>
    <mergeCell ref="A128:A129"/>
    <mergeCell ref="B128:B129"/>
    <mergeCell ref="C128:C129"/>
    <mergeCell ref="D128:D129"/>
    <mergeCell ref="E128:K129"/>
    <mergeCell ref="C379:C380"/>
    <mergeCell ref="D379:D380"/>
    <mergeCell ref="E379:E380"/>
    <mergeCell ref="F379:F380"/>
    <mergeCell ref="G379:M380"/>
    <mergeCell ref="C381:C382"/>
    <mergeCell ref="D381:D382"/>
    <mergeCell ref="E381:E382"/>
    <mergeCell ref="F381:F382"/>
    <mergeCell ref="G381:M382"/>
    <mergeCell ref="G372:I372"/>
    <mergeCell ref="G373:I373"/>
    <mergeCell ref="C375:C376"/>
    <mergeCell ref="D375:D376"/>
    <mergeCell ref="E375:E376"/>
    <mergeCell ref="F375:F376"/>
    <mergeCell ref="G375:M376"/>
    <mergeCell ref="C377:C378"/>
    <mergeCell ref="D377:D378"/>
    <mergeCell ref="E377:E378"/>
    <mergeCell ref="F377:F378"/>
    <mergeCell ref="G377:M378"/>
    <mergeCell ref="C387:C388"/>
    <mergeCell ref="D387:D388"/>
    <mergeCell ref="E387:E388"/>
    <mergeCell ref="F387:F388"/>
    <mergeCell ref="G387:M388"/>
    <mergeCell ref="C389:C390"/>
    <mergeCell ref="D389:D390"/>
    <mergeCell ref="E389:E390"/>
    <mergeCell ref="F389:F390"/>
    <mergeCell ref="G389:M390"/>
    <mergeCell ref="C383:C384"/>
    <mergeCell ref="D383:D384"/>
    <mergeCell ref="E383:E384"/>
    <mergeCell ref="F383:F384"/>
    <mergeCell ref="G383:M384"/>
    <mergeCell ref="C385:C386"/>
    <mergeCell ref="D385:D386"/>
    <mergeCell ref="E385:E386"/>
    <mergeCell ref="F385:F386"/>
    <mergeCell ref="G385:M386"/>
    <mergeCell ref="C395:C396"/>
    <mergeCell ref="D395:D396"/>
    <mergeCell ref="E395:E396"/>
    <mergeCell ref="F395:F396"/>
    <mergeCell ref="G395:M396"/>
    <mergeCell ref="C397:C398"/>
    <mergeCell ref="D397:D398"/>
    <mergeCell ref="E397:E398"/>
    <mergeCell ref="F397:F398"/>
    <mergeCell ref="G397:M398"/>
    <mergeCell ref="C391:C392"/>
    <mergeCell ref="D391:D392"/>
    <mergeCell ref="E391:E392"/>
    <mergeCell ref="F391:F392"/>
    <mergeCell ref="G391:M392"/>
    <mergeCell ref="C393:C394"/>
    <mergeCell ref="D393:D394"/>
    <mergeCell ref="E393:E394"/>
    <mergeCell ref="F393:F394"/>
    <mergeCell ref="G393:M394"/>
    <mergeCell ref="C407:C408"/>
    <mergeCell ref="D407:D408"/>
    <mergeCell ref="E407:E408"/>
    <mergeCell ref="F407:F408"/>
    <mergeCell ref="G407:M408"/>
    <mergeCell ref="C409:M412"/>
    <mergeCell ref="I414:K414"/>
    <mergeCell ref="I415:K415"/>
    <mergeCell ref="C403:C404"/>
    <mergeCell ref="D403:D404"/>
    <mergeCell ref="E403:E404"/>
    <mergeCell ref="F403:F404"/>
    <mergeCell ref="G403:M404"/>
    <mergeCell ref="C405:C406"/>
    <mergeCell ref="F405:F406"/>
    <mergeCell ref="G405:M406"/>
    <mergeCell ref="C399:C400"/>
    <mergeCell ref="D399:D400"/>
    <mergeCell ref="E399:E400"/>
    <mergeCell ref="F399:F400"/>
    <mergeCell ref="G399:M400"/>
    <mergeCell ref="C401:C402"/>
    <mergeCell ref="D401:D402"/>
    <mergeCell ref="E401:E402"/>
    <mergeCell ref="F401:F402"/>
    <mergeCell ref="G401:M402"/>
    <mergeCell ref="A585:A586"/>
    <mergeCell ref="B585:B586"/>
    <mergeCell ref="C585:C586"/>
    <mergeCell ref="D585:D586"/>
    <mergeCell ref="E585:K586"/>
    <mergeCell ref="A587:A588"/>
    <mergeCell ref="B587:B588"/>
    <mergeCell ref="C587:C588"/>
    <mergeCell ref="D587:D588"/>
    <mergeCell ref="E587:K588"/>
    <mergeCell ref="E578:G578"/>
    <mergeCell ref="E579:G579"/>
    <mergeCell ref="A581:A582"/>
    <mergeCell ref="B581:B582"/>
    <mergeCell ref="C581:C582"/>
    <mergeCell ref="D581:D582"/>
    <mergeCell ref="E581:K582"/>
    <mergeCell ref="A583:A584"/>
    <mergeCell ref="B583:B584"/>
    <mergeCell ref="C583:C584"/>
    <mergeCell ref="D583:D584"/>
    <mergeCell ref="E583:K584"/>
    <mergeCell ref="A593:A594"/>
    <mergeCell ref="B593:B594"/>
    <mergeCell ref="C593:C594"/>
    <mergeCell ref="D593:D594"/>
    <mergeCell ref="E593:K594"/>
    <mergeCell ref="A595:A596"/>
    <mergeCell ref="B595:B596"/>
    <mergeCell ref="C595:C596"/>
    <mergeCell ref="D595:D596"/>
    <mergeCell ref="E595:K596"/>
    <mergeCell ref="A589:A590"/>
    <mergeCell ref="B589:B590"/>
    <mergeCell ref="C589:C590"/>
    <mergeCell ref="D589:D590"/>
    <mergeCell ref="E589:K590"/>
    <mergeCell ref="A591:A592"/>
    <mergeCell ref="B591:B592"/>
    <mergeCell ref="C591:C592"/>
    <mergeCell ref="D591:D592"/>
    <mergeCell ref="E591:K592"/>
    <mergeCell ref="A601:A602"/>
    <mergeCell ref="B601:B602"/>
    <mergeCell ref="C601:C602"/>
    <mergeCell ref="D601:D602"/>
    <mergeCell ref="E601:K602"/>
    <mergeCell ref="A603:A604"/>
    <mergeCell ref="B603:B604"/>
    <mergeCell ref="C603:C604"/>
    <mergeCell ref="D603:D604"/>
    <mergeCell ref="E603:K604"/>
    <mergeCell ref="A597:A598"/>
    <mergeCell ref="B597:B598"/>
    <mergeCell ref="C597:C598"/>
    <mergeCell ref="D597:D598"/>
    <mergeCell ref="E597:K598"/>
    <mergeCell ref="A599:A600"/>
    <mergeCell ref="B599:B600"/>
    <mergeCell ref="C599:C600"/>
    <mergeCell ref="D599:D600"/>
    <mergeCell ref="E599:K600"/>
    <mergeCell ref="A609:A610"/>
    <mergeCell ref="B609:B610"/>
    <mergeCell ref="C609:C610"/>
    <mergeCell ref="D609:D610"/>
    <mergeCell ref="E609:K610"/>
    <mergeCell ref="A611:A612"/>
    <mergeCell ref="B611:B612"/>
    <mergeCell ref="C611:C612"/>
    <mergeCell ref="D611:D612"/>
    <mergeCell ref="E611:K612"/>
    <mergeCell ref="A605:A606"/>
    <mergeCell ref="B605:B606"/>
    <mergeCell ref="C605:C606"/>
    <mergeCell ref="D605:D606"/>
    <mergeCell ref="E605:K606"/>
    <mergeCell ref="A607:A608"/>
    <mergeCell ref="B607:B608"/>
    <mergeCell ref="C607:C608"/>
    <mergeCell ref="D607:D608"/>
    <mergeCell ref="E607:K608"/>
    <mergeCell ref="G623:I623"/>
    <mergeCell ref="G624:I624"/>
    <mergeCell ref="E647:G647"/>
    <mergeCell ref="E648:G648"/>
    <mergeCell ref="A650:A651"/>
    <mergeCell ref="B650:B651"/>
    <mergeCell ref="C650:C651"/>
    <mergeCell ref="D650:D651"/>
    <mergeCell ref="E650:K651"/>
    <mergeCell ref="A613:A614"/>
    <mergeCell ref="B613:B614"/>
    <mergeCell ref="C613:C614"/>
    <mergeCell ref="D613:D614"/>
    <mergeCell ref="E613:K614"/>
    <mergeCell ref="A615:K618"/>
    <mergeCell ref="G620:I620"/>
    <mergeCell ref="G621:I621"/>
    <mergeCell ref="G622:I622"/>
    <mergeCell ref="A656:A657"/>
    <mergeCell ref="B656:B657"/>
    <mergeCell ref="C656:C657"/>
    <mergeCell ref="D656:D657"/>
    <mergeCell ref="E656:K657"/>
    <mergeCell ref="A658:A659"/>
    <mergeCell ref="B658:B659"/>
    <mergeCell ref="C658:C659"/>
    <mergeCell ref="D658:D659"/>
    <mergeCell ref="E658:K659"/>
    <mergeCell ref="A652:A653"/>
    <mergeCell ref="B652:B653"/>
    <mergeCell ref="C652:C653"/>
    <mergeCell ref="D652:D653"/>
    <mergeCell ref="E652:K653"/>
    <mergeCell ref="A654:A655"/>
    <mergeCell ref="B654:B655"/>
    <mergeCell ref="C654:C655"/>
    <mergeCell ref="D654:D655"/>
    <mergeCell ref="E654:K655"/>
    <mergeCell ref="A664:A665"/>
    <mergeCell ref="B664:B665"/>
    <mergeCell ref="C664:C665"/>
    <mergeCell ref="D664:D665"/>
    <mergeCell ref="E664:K665"/>
    <mergeCell ref="A666:A667"/>
    <mergeCell ref="B666:B667"/>
    <mergeCell ref="C666:C667"/>
    <mergeCell ref="D666:D667"/>
    <mergeCell ref="E666:K667"/>
    <mergeCell ref="A660:A661"/>
    <mergeCell ref="B660:B661"/>
    <mergeCell ref="C660:C661"/>
    <mergeCell ref="D660:D661"/>
    <mergeCell ref="E660:K661"/>
    <mergeCell ref="A662:A663"/>
    <mergeCell ref="B662:B663"/>
    <mergeCell ref="C662:C663"/>
    <mergeCell ref="D662:D663"/>
    <mergeCell ref="E662:K663"/>
    <mergeCell ref="A672:A673"/>
    <mergeCell ref="B672:B673"/>
    <mergeCell ref="C672:C673"/>
    <mergeCell ref="D672:D673"/>
    <mergeCell ref="E672:K673"/>
    <mergeCell ref="A674:A675"/>
    <mergeCell ref="B674:B675"/>
    <mergeCell ref="C674:C675"/>
    <mergeCell ref="D674:D675"/>
    <mergeCell ref="E674:K675"/>
    <mergeCell ref="A668:A669"/>
    <mergeCell ref="B668:B669"/>
    <mergeCell ref="C668:C669"/>
    <mergeCell ref="D668:D669"/>
    <mergeCell ref="E668:K669"/>
    <mergeCell ref="A670:A671"/>
    <mergeCell ref="B670:B671"/>
    <mergeCell ref="C670:C671"/>
    <mergeCell ref="D670:D671"/>
    <mergeCell ref="E670:K671"/>
    <mergeCell ref="A684:K687"/>
    <mergeCell ref="G689:I689"/>
    <mergeCell ref="G690:I690"/>
    <mergeCell ref="G691:I691"/>
    <mergeCell ref="A680:A681"/>
    <mergeCell ref="B680:B681"/>
    <mergeCell ref="C680:C681"/>
    <mergeCell ref="D680:D681"/>
    <mergeCell ref="E680:K681"/>
    <mergeCell ref="B682:B683"/>
    <mergeCell ref="C682:C683"/>
    <mergeCell ref="D682:D683"/>
    <mergeCell ref="E682:K683"/>
    <mergeCell ref="A676:A677"/>
    <mergeCell ref="B676:B677"/>
    <mergeCell ref="C676:C677"/>
    <mergeCell ref="D676:D677"/>
    <mergeCell ref="E676:K677"/>
    <mergeCell ref="A678:A679"/>
    <mergeCell ref="B678:B679"/>
    <mergeCell ref="C678:C679"/>
    <mergeCell ref="D678:D679"/>
    <mergeCell ref="E678:K679"/>
  </mergeCells>
  <pageMargins left="0.7" right="0.7" top="0.75" bottom="0.75" header="0.3" footer="0.3"/>
  <pageSetup paperSize="9" scale="7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FE09-18D0-422A-B6AB-CAE205A53F68}">
  <dimension ref="A1:K36"/>
  <sheetViews>
    <sheetView rightToLeft="1" topLeftCell="A10" workbookViewId="0">
      <selection activeCell="H26" sqref="H26:K26"/>
    </sheetView>
  </sheetViews>
  <sheetFormatPr defaultRowHeight="14.25" x14ac:dyDescent="0.2"/>
  <sheetData>
    <row r="1" spans="1:11" ht="24" customHeight="1" thickBot="1" x14ac:dyDescent="0.25">
      <c r="A1" s="203" t="s">
        <v>38</v>
      </c>
      <c r="B1" s="206" t="s">
        <v>39</v>
      </c>
      <c r="J1" s="211"/>
      <c r="K1" s="208" t="s">
        <v>164</v>
      </c>
    </row>
    <row r="2" spans="1:11" ht="21.75" customHeight="1" thickTop="1" thickBot="1" x14ac:dyDescent="0.25">
      <c r="A2" s="204" t="s">
        <v>54</v>
      </c>
      <c r="B2" s="207">
        <v>1</v>
      </c>
      <c r="J2" s="212"/>
      <c r="K2" s="209" t="s">
        <v>165</v>
      </c>
    </row>
    <row r="3" spans="1:11" ht="39" customHeight="1" thickTop="1" thickBot="1" x14ac:dyDescent="0.25">
      <c r="A3" s="204" t="s">
        <v>40</v>
      </c>
      <c r="B3" s="207" t="s">
        <v>222</v>
      </c>
      <c r="F3" s="642" t="s">
        <v>277</v>
      </c>
      <c r="G3" s="643"/>
      <c r="H3" s="643"/>
      <c r="J3" s="212"/>
      <c r="K3" s="209" t="s">
        <v>166</v>
      </c>
    </row>
    <row r="4" spans="1:11" ht="29.25" customHeight="1" thickTop="1" thickBot="1" x14ac:dyDescent="0.25">
      <c r="A4" s="205" t="s">
        <v>275</v>
      </c>
      <c r="B4" s="221">
        <v>45048</v>
      </c>
      <c r="F4" s="643"/>
      <c r="G4" s="643"/>
      <c r="H4" s="643"/>
      <c r="J4" s="213"/>
      <c r="K4" s="210" t="s">
        <v>276</v>
      </c>
    </row>
    <row r="5" spans="1:11" ht="15" x14ac:dyDescent="0.2">
      <c r="A5" s="222" t="s">
        <v>279</v>
      </c>
      <c r="B5" s="644" t="s">
        <v>280</v>
      </c>
      <c r="C5" s="644"/>
      <c r="D5" s="644"/>
      <c r="E5" s="644"/>
      <c r="F5" s="644" t="s">
        <v>281</v>
      </c>
      <c r="G5" s="644"/>
      <c r="H5" s="644" t="s">
        <v>137</v>
      </c>
      <c r="I5" s="644"/>
      <c r="J5" s="644"/>
      <c r="K5" s="644"/>
    </row>
    <row r="6" spans="1:11" ht="15.75" x14ac:dyDescent="0.2">
      <c r="A6" s="222">
        <v>1</v>
      </c>
      <c r="B6" s="644" t="s">
        <v>282</v>
      </c>
      <c r="C6" s="644"/>
      <c r="D6" s="644"/>
      <c r="E6" s="644"/>
      <c r="F6" s="645" t="s">
        <v>337</v>
      </c>
      <c r="G6" s="645"/>
      <c r="H6" s="646" t="s">
        <v>377</v>
      </c>
      <c r="I6" s="647"/>
      <c r="J6" s="647"/>
      <c r="K6" s="647"/>
    </row>
    <row r="7" spans="1:11" ht="15.75" x14ac:dyDescent="0.2">
      <c r="A7" s="222">
        <v>2</v>
      </c>
      <c r="B7" s="644" t="s">
        <v>282</v>
      </c>
      <c r="C7" s="644"/>
      <c r="D7" s="644"/>
      <c r="E7" s="644"/>
      <c r="F7" s="645" t="s">
        <v>338</v>
      </c>
      <c r="G7" s="645"/>
      <c r="H7" s="646" t="s">
        <v>377</v>
      </c>
      <c r="I7" s="647"/>
      <c r="J7" s="647"/>
      <c r="K7" s="647"/>
    </row>
    <row r="8" spans="1:11" ht="15.75" x14ac:dyDescent="0.2">
      <c r="A8" s="222">
        <v>3</v>
      </c>
      <c r="B8" s="644" t="s">
        <v>282</v>
      </c>
      <c r="C8" s="644"/>
      <c r="D8" s="644"/>
      <c r="E8" s="644"/>
      <c r="F8" s="645" t="s">
        <v>339</v>
      </c>
      <c r="G8" s="645"/>
      <c r="H8" s="646" t="s">
        <v>377</v>
      </c>
      <c r="I8" s="647"/>
      <c r="J8" s="647"/>
      <c r="K8" s="647"/>
    </row>
    <row r="9" spans="1:11" ht="15.75" x14ac:dyDescent="0.2">
      <c r="A9" s="222">
        <v>4</v>
      </c>
      <c r="B9" s="644" t="s">
        <v>282</v>
      </c>
      <c r="C9" s="644"/>
      <c r="D9" s="644"/>
      <c r="E9" s="644"/>
      <c r="F9" s="645" t="s">
        <v>340</v>
      </c>
      <c r="G9" s="645"/>
      <c r="H9" s="646" t="s">
        <v>377</v>
      </c>
      <c r="I9" s="647"/>
      <c r="J9" s="647"/>
      <c r="K9" s="647"/>
    </row>
    <row r="10" spans="1:11" ht="15" x14ac:dyDescent="0.2">
      <c r="A10" s="222">
        <v>5</v>
      </c>
      <c r="B10" s="644" t="s">
        <v>282</v>
      </c>
      <c r="C10" s="644"/>
      <c r="D10" s="644"/>
      <c r="E10" s="644"/>
      <c r="F10" s="645" t="s">
        <v>341</v>
      </c>
      <c r="G10" s="645"/>
      <c r="H10" s="648"/>
      <c r="I10" s="649"/>
      <c r="J10" s="649"/>
      <c r="K10" s="649"/>
    </row>
    <row r="11" spans="1:11" ht="15.75" x14ac:dyDescent="0.2">
      <c r="A11" s="222">
        <v>6</v>
      </c>
      <c r="B11" s="644" t="s">
        <v>282</v>
      </c>
      <c r="C11" s="644"/>
      <c r="D11" s="644"/>
      <c r="E11" s="644"/>
      <c r="F11" s="645" t="s">
        <v>342</v>
      </c>
      <c r="G11" s="645"/>
      <c r="H11" s="646" t="s">
        <v>408</v>
      </c>
      <c r="I11" s="647"/>
      <c r="J11" s="647"/>
      <c r="K11" s="647"/>
    </row>
    <row r="12" spans="1:11" ht="18" x14ac:dyDescent="0.25">
      <c r="A12" s="222">
        <v>7</v>
      </c>
      <c r="B12" s="644" t="s">
        <v>282</v>
      </c>
      <c r="C12" s="644"/>
      <c r="D12" s="644"/>
      <c r="E12" s="644"/>
      <c r="F12" s="650" t="s">
        <v>343</v>
      </c>
      <c r="G12" s="650"/>
      <c r="I12" s="319" t="s">
        <v>408</v>
      </c>
    </row>
    <row r="13" spans="1:11" ht="15" x14ac:dyDescent="0.2">
      <c r="A13" s="222">
        <v>8</v>
      </c>
      <c r="B13" s="644" t="s">
        <v>282</v>
      </c>
      <c r="C13" s="644"/>
      <c r="D13" s="644"/>
      <c r="E13" s="644"/>
      <c r="F13" s="650" t="s">
        <v>345</v>
      </c>
      <c r="G13" s="650"/>
      <c r="H13" s="651" t="s">
        <v>377</v>
      </c>
      <c r="I13" s="652"/>
      <c r="J13" s="652"/>
      <c r="K13" s="652"/>
    </row>
    <row r="14" spans="1:11" ht="15" x14ac:dyDescent="0.2">
      <c r="A14" s="222">
        <v>9</v>
      </c>
      <c r="B14" s="644" t="s">
        <v>282</v>
      </c>
      <c r="C14" s="644"/>
      <c r="D14" s="644"/>
      <c r="E14" s="644"/>
      <c r="F14" s="650" t="s">
        <v>344</v>
      </c>
      <c r="G14" s="650"/>
      <c r="H14" s="653" t="s">
        <v>408</v>
      </c>
      <c r="I14" s="654"/>
      <c r="J14" s="654"/>
      <c r="K14" s="654"/>
    </row>
    <row r="15" spans="1:11" ht="15" x14ac:dyDescent="0.2">
      <c r="A15" s="222">
        <v>10</v>
      </c>
      <c r="B15" s="644" t="s">
        <v>282</v>
      </c>
      <c r="C15" s="644"/>
      <c r="D15" s="644"/>
      <c r="E15" s="644"/>
      <c r="F15" s="650" t="s">
        <v>346</v>
      </c>
      <c r="G15" s="650"/>
      <c r="H15" s="651" t="s">
        <v>408</v>
      </c>
      <c r="I15" s="652"/>
      <c r="J15" s="652"/>
      <c r="K15" s="652"/>
    </row>
    <row r="16" spans="1:11" ht="15" x14ac:dyDescent="0.2">
      <c r="A16" s="222">
        <v>11</v>
      </c>
      <c r="B16" s="644" t="s">
        <v>282</v>
      </c>
      <c r="C16" s="644"/>
      <c r="D16" s="644"/>
      <c r="E16" s="644"/>
      <c r="F16" s="650" t="s">
        <v>347</v>
      </c>
      <c r="G16" s="650"/>
      <c r="H16" s="653" t="s">
        <v>408</v>
      </c>
      <c r="I16" s="654"/>
      <c r="J16" s="654"/>
      <c r="K16" s="654"/>
    </row>
    <row r="17" spans="1:11" ht="15" x14ac:dyDescent="0.2">
      <c r="A17" s="222">
        <v>12</v>
      </c>
      <c r="B17" s="644" t="s">
        <v>282</v>
      </c>
      <c r="C17" s="644"/>
      <c r="D17" s="644"/>
      <c r="E17" s="644"/>
      <c r="F17" s="650" t="s">
        <v>348</v>
      </c>
      <c r="G17" s="650"/>
      <c r="H17" s="655"/>
      <c r="I17" s="656"/>
      <c r="J17" s="656"/>
      <c r="K17" s="656"/>
    </row>
    <row r="18" spans="1:11" ht="15" x14ac:dyDescent="0.2">
      <c r="A18" s="222">
        <v>13</v>
      </c>
      <c r="B18" s="644" t="s">
        <v>282</v>
      </c>
      <c r="C18" s="644"/>
      <c r="D18" s="644"/>
      <c r="E18" s="644"/>
      <c r="F18" s="650" t="s">
        <v>349</v>
      </c>
      <c r="G18" s="650"/>
      <c r="H18" s="653" t="s">
        <v>408</v>
      </c>
      <c r="I18" s="654"/>
      <c r="J18" s="654"/>
      <c r="K18" s="654"/>
    </row>
    <row r="19" spans="1:11" ht="15" x14ac:dyDescent="0.2">
      <c r="A19" s="222">
        <v>14</v>
      </c>
      <c r="B19" s="644" t="s">
        <v>282</v>
      </c>
      <c r="C19" s="644"/>
      <c r="D19" s="644"/>
      <c r="E19" s="644"/>
      <c r="F19" s="650" t="s">
        <v>350</v>
      </c>
      <c r="G19" s="650"/>
      <c r="H19" s="651" t="s">
        <v>377</v>
      </c>
      <c r="I19" s="652"/>
      <c r="J19" s="652"/>
      <c r="K19" s="652"/>
    </row>
    <row r="20" spans="1:11" ht="15" x14ac:dyDescent="0.2">
      <c r="A20" s="222">
        <v>15</v>
      </c>
      <c r="B20" s="644" t="s">
        <v>282</v>
      </c>
      <c r="C20" s="644"/>
      <c r="D20" s="644"/>
      <c r="E20" s="644"/>
      <c r="F20" s="650" t="s">
        <v>351</v>
      </c>
      <c r="G20" s="650"/>
      <c r="H20" s="653" t="s">
        <v>377</v>
      </c>
      <c r="I20" s="654"/>
      <c r="J20" s="654"/>
      <c r="K20" s="654"/>
    </row>
    <row r="21" spans="1:11" ht="15" x14ac:dyDescent="0.2">
      <c r="A21" s="222">
        <v>16</v>
      </c>
      <c r="B21" s="644" t="s">
        <v>282</v>
      </c>
      <c r="C21" s="644"/>
      <c r="D21" s="644"/>
      <c r="E21" s="644"/>
      <c r="F21" s="650" t="s">
        <v>352</v>
      </c>
      <c r="G21" s="650"/>
      <c r="H21" s="651" t="s">
        <v>408</v>
      </c>
      <c r="I21" s="652"/>
      <c r="J21" s="652"/>
      <c r="K21" s="652"/>
    </row>
    <row r="22" spans="1:11" ht="15" x14ac:dyDescent="0.2">
      <c r="A22" s="222">
        <v>17</v>
      </c>
      <c r="B22" s="644" t="s">
        <v>282</v>
      </c>
      <c r="C22" s="644"/>
      <c r="D22" s="644"/>
      <c r="E22" s="644"/>
      <c r="F22" s="650" t="s">
        <v>353</v>
      </c>
      <c r="G22" s="650"/>
      <c r="H22" s="653" t="s">
        <v>408</v>
      </c>
      <c r="I22" s="654"/>
      <c r="J22" s="654"/>
      <c r="K22" s="654"/>
    </row>
    <row r="23" spans="1:11" ht="15" x14ac:dyDescent="0.2">
      <c r="A23" s="222">
        <v>18</v>
      </c>
      <c r="B23" s="644" t="s">
        <v>282</v>
      </c>
      <c r="C23" s="644"/>
      <c r="D23" s="644"/>
      <c r="E23" s="644"/>
      <c r="F23" s="650" t="s">
        <v>354</v>
      </c>
      <c r="G23" s="650"/>
      <c r="H23" s="651" t="s">
        <v>408</v>
      </c>
      <c r="I23" s="652"/>
      <c r="J23" s="652"/>
      <c r="K23" s="652"/>
    </row>
    <row r="24" spans="1:11" ht="15" x14ac:dyDescent="0.2">
      <c r="A24" s="222">
        <v>19</v>
      </c>
      <c r="B24" s="644" t="s">
        <v>282</v>
      </c>
      <c r="C24" s="644"/>
      <c r="D24" s="644"/>
      <c r="E24" s="644"/>
      <c r="F24" s="650" t="s">
        <v>355</v>
      </c>
      <c r="G24" s="650"/>
      <c r="H24" s="653"/>
      <c r="I24" s="654"/>
      <c r="J24" s="654"/>
      <c r="K24" s="654"/>
    </row>
    <row r="25" spans="1:11" ht="15" x14ac:dyDescent="0.2">
      <c r="A25" s="222">
        <v>20</v>
      </c>
      <c r="B25" s="644" t="s">
        <v>282</v>
      </c>
      <c r="C25" s="644"/>
      <c r="D25" s="644"/>
      <c r="E25" s="644"/>
      <c r="F25" s="650" t="s">
        <v>356</v>
      </c>
      <c r="G25" s="650"/>
      <c r="H25" s="651" t="s">
        <v>377</v>
      </c>
      <c r="I25" s="652"/>
      <c r="J25" s="652"/>
      <c r="K25" s="652"/>
    </row>
    <row r="26" spans="1:11" ht="15" x14ac:dyDescent="0.2">
      <c r="A26" s="222">
        <v>21</v>
      </c>
      <c r="B26" s="644" t="s">
        <v>282</v>
      </c>
      <c r="C26" s="644"/>
      <c r="D26" s="644"/>
      <c r="E26" s="644"/>
      <c r="F26" s="650" t="s">
        <v>357</v>
      </c>
      <c r="G26" s="650"/>
      <c r="H26" s="651" t="s">
        <v>408</v>
      </c>
      <c r="I26" s="652"/>
      <c r="J26" s="652"/>
      <c r="K26" s="652"/>
    </row>
    <row r="27" spans="1:11" ht="15" x14ac:dyDescent="0.2">
      <c r="A27" s="222">
        <v>22</v>
      </c>
      <c r="B27" s="644" t="s">
        <v>282</v>
      </c>
      <c r="C27" s="644"/>
      <c r="D27" s="644"/>
      <c r="E27" s="644"/>
      <c r="F27" s="650" t="s">
        <v>358</v>
      </c>
      <c r="G27" s="650"/>
      <c r="H27" s="651"/>
      <c r="I27" s="652"/>
      <c r="J27" s="652"/>
      <c r="K27" s="652"/>
    </row>
    <row r="28" spans="1:11" ht="15" x14ac:dyDescent="0.2">
      <c r="A28" s="222">
        <v>23</v>
      </c>
      <c r="B28" s="644" t="s">
        <v>282</v>
      </c>
      <c r="C28" s="644"/>
      <c r="D28" s="644"/>
      <c r="E28" s="644"/>
      <c r="F28" s="650" t="s">
        <v>359</v>
      </c>
      <c r="G28" s="650"/>
      <c r="H28" s="651"/>
      <c r="I28" s="652"/>
      <c r="J28" s="652"/>
      <c r="K28" s="652"/>
    </row>
    <row r="29" spans="1:11" ht="15" x14ac:dyDescent="0.2">
      <c r="A29" s="222">
        <v>24</v>
      </c>
      <c r="B29" s="644" t="s">
        <v>282</v>
      </c>
      <c r="C29" s="644"/>
      <c r="D29" s="644"/>
      <c r="E29" s="644"/>
      <c r="F29" s="650" t="s">
        <v>360</v>
      </c>
      <c r="G29" s="650"/>
      <c r="H29" s="651"/>
      <c r="I29" s="652"/>
      <c r="J29" s="652"/>
      <c r="K29" s="652"/>
    </row>
    <row r="30" spans="1:11" ht="15" x14ac:dyDescent="0.2">
      <c r="A30" s="222">
        <v>25</v>
      </c>
      <c r="B30" s="644" t="s">
        <v>282</v>
      </c>
      <c r="C30" s="644"/>
      <c r="D30" s="644"/>
      <c r="E30" s="644"/>
      <c r="F30" s="650" t="s">
        <v>361</v>
      </c>
      <c r="G30" s="650"/>
      <c r="H30" s="651"/>
      <c r="I30" s="652"/>
      <c r="J30" s="652"/>
      <c r="K30" s="652"/>
    </row>
    <row r="31" spans="1:11" ht="15" x14ac:dyDescent="0.2">
      <c r="A31" s="222">
        <v>26</v>
      </c>
      <c r="B31" s="644" t="s">
        <v>282</v>
      </c>
      <c r="C31" s="644"/>
      <c r="D31" s="644"/>
      <c r="E31" s="644"/>
      <c r="F31" s="650" t="s">
        <v>362</v>
      </c>
      <c r="G31" s="650"/>
      <c r="H31" s="651"/>
      <c r="I31" s="652"/>
      <c r="J31" s="652"/>
      <c r="K31" s="652"/>
    </row>
    <row r="32" spans="1:11" ht="15" x14ac:dyDescent="0.2">
      <c r="A32" s="222">
        <v>27</v>
      </c>
      <c r="B32" s="644" t="s">
        <v>282</v>
      </c>
      <c r="C32" s="644"/>
      <c r="D32" s="644"/>
      <c r="E32" s="644"/>
      <c r="F32" s="650" t="s">
        <v>363</v>
      </c>
      <c r="G32" s="650"/>
      <c r="H32" s="651"/>
      <c r="I32" s="652"/>
      <c r="J32" s="652"/>
      <c r="K32" s="652"/>
    </row>
    <row r="33" spans="1:11" ht="15" x14ac:dyDescent="0.2">
      <c r="A33" s="222">
        <v>28</v>
      </c>
      <c r="B33" s="644" t="s">
        <v>282</v>
      </c>
      <c r="C33" s="644"/>
      <c r="D33" s="644"/>
      <c r="E33" s="644"/>
      <c r="F33" s="650" t="s">
        <v>364</v>
      </c>
      <c r="G33" s="650"/>
      <c r="H33" s="651"/>
      <c r="I33" s="652"/>
      <c r="J33" s="652"/>
      <c r="K33" s="652"/>
    </row>
    <row r="34" spans="1:11" ht="15" x14ac:dyDescent="0.2">
      <c r="A34" s="222">
        <v>29</v>
      </c>
      <c r="B34" s="644" t="s">
        <v>282</v>
      </c>
      <c r="C34" s="644"/>
      <c r="D34" s="644"/>
      <c r="E34" s="644"/>
      <c r="F34" s="650" t="s">
        <v>365</v>
      </c>
      <c r="G34" s="650"/>
      <c r="H34" s="651"/>
      <c r="I34" s="652"/>
      <c r="J34" s="652"/>
      <c r="K34" s="652"/>
    </row>
    <row r="35" spans="1:11" ht="15" x14ac:dyDescent="0.2">
      <c r="A35" s="222">
        <v>30</v>
      </c>
      <c r="B35" s="644" t="s">
        <v>282</v>
      </c>
      <c r="C35" s="644"/>
      <c r="D35" s="644"/>
      <c r="E35" s="644"/>
      <c r="F35" s="650" t="s">
        <v>366</v>
      </c>
      <c r="G35" s="650"/>
      <c r="H35" s="651"/>
      <c r="I35" s="652"/>
      <c r="J35" s="652"/>
      <c r="K35" s="652"/>
    </row>
    <row r="36" spans="1:11" ht="15" x14ac:dyDescent="0.2">
      <c r="A36" s="222">
        <v>31</v>
      </c>
      <c r="B36" s="644" t="s">
        <v>282</v>
      </c>
      <c r="C36" s="644"/>
      <c r="D36" s="644"/>
      <c r="E36" s="644"/>
      <c r="F36" s="650" t="s">
        <v>367</v>
      </c>
      <c r="G36" s="650"/>
      <c r="H36" s="651"/>
      <c r="I36" s="652"/>
      <c r="J36" s="652"/>
      <c r="K36" s="652"/>
    </row>
  </sheetData>
  <mergeCells count="96">
    <mergeCell ref="B35:E35"/>
    <mergeCell ref="F35:G35"/>
    <mergeCell ref="H35:K35"/>
    <mergeCell ref="B36:E36"/>
    <mergeCell ref="F36:G36"/>
    <mergeCell ref="H36:K36"/>
    <mergeCell ref="B33:E33"/>
    <mergeCell ref="F33:G33"/>
    <mergeCell ref="H33:K33"/>
    <mergeCell ref="B34:E34"/>
    <mergeCell ref="F34:G34"/>
    <mergeCell ref="H34:K34"/>
    <mergeCell ref="B31:E31"/>
    <mergeCell ref="F31:G31"/>
    <mergeCell ref="H31:K31"/>
    <mergeCell ref="B32:E32"/>
    <mergeCell ref="F32:G32"/>
    <mergeCell ref="H32:K32"/>
    <mergeCell ref="B29:E29"/>
    <mergeCell ref="F29:G29"/>
    <mergeCell ref="H29:K29"/>
    <mergeCell ref="B30:E30"/>
    <mergeCell ref="F30:G30"/>
    <mergeCell ref="H30:K30"/>
    <mergeCell ref="B27:E27"/>
    <mergeCell ref="F27:G27"/>
    <mergeCell ref="H27:K27"/>
    <mergeCell ref="B28:E28"/>
    <mergeCell ref="F28:G28"/>
    <mergeCell ref="H28:K28"/>
    <mergeCell ref="B25:E25"/>
    <mergeCell ref="F25:G25"/>
    <mergeCell ref="H25:K25"/>
    <mergeCell ref="B26:E26"/>
    <mergeCell ref="F26:G26"/>
    <mergeCell ref="H26:K26"/>
    <mergeCell ref="B23:E23"/>
    <mergeCell ref="F23:G23"/>
    <mergeCell ref="H23:K23"/>
    <mergeCell ref="B24:E24"/>
    <mergeCell ref="F24:G24"/>
    <mergeCell ref="H24:K24"/>
    <mergeCell ref="B21:E21"/>
    <mergeCell ref="F21:G21"/>
    <mergeCell ref="H21:K21"/>
    <mergeCell ref="B22:E22"/>
    <mergeCell ref="F22:G22"/>
    <mergeCell ref="H22:K22"/>
    <mergeCell ref="B19:E19"/>
    <mergeCell ref="F19:G19"/>
    <mergeCell ref="H19:K19"/>
    <mergeCell ref="B20:E20"/>
    <mergeCell ref="F20:G20"/>
    <mergeCell ref="H20:K20"/>
    <mergeCell ref="B17:E17"/>
    <mergeCell ref="F17:G17"/>
    <mergeCell ref="H17:K17"/>
    <mergeCell ref="B18:E18"/>
    <mergeCell ref="F18:G18"/>
    <mergeCell ref="H18:K18"/>
    <mergeCell ref="B15:E15"/>
    <mergeCell ref="F15:G15"/>
    <mergeCell ref="H15:K15"/>
    <mergeCell ref="B16:E16"/>
    <mergeCell ref="F16:G16"/>
    <mergeCell ref="H16:K16"/>
    <mergeCell ref="B13:E13"/>
    <mergeCell ref="F13:G13"/>
    <mergeCell ref="H13:K13"/>
    <mergeCell ref="B14:E14"/>
    <mergeCell ref="F14:G14"/>
    <mergeCell ref="H14:K14"/>
    <mergeCell ref="B11:E11"/>
    <mergeCell ref="F11:G11"/>
    <mergeCell ref="H11:K11"/>
    <mergeCell ref="B12:E12"/>
    <mergeCell ref="F12:G12"/>
    <mergeCell ref="H10:K10"/>
    <mergeCell ref="B9:E9"/>
    <mergeCell ref="F9:G9"/>
    <mergeCell ref="H9:K9"/>
    <mergeCell ref="B10:E10"/>
    <mergeCell ref="F10:G10"/>
    <mergeCell ref="B7:E7"/>
    <mergeCell ref="F7:G7"/>
    <mergeCell ref="H7:K7"/>
    <mergeCell ref="B8:E8"/>
    <mergeCell ref="F8:G8"/>
    <mergeCell ref="H8:K8"/>
    <mergeCell ref="F3:H4"/>
    <mergeCell ref="B5:E5"/>
    <mergeCell ref="F5:G5"/>
    <mergeCell ref="H5:K5"/>
    <mergeCell ref="B6:E6"/>
    <mergeCell ref="F6:G6"/>
    <mergeCell ref="H6:K6"/>
  </mergeCells>
  <phoneticPr fontId="39" type="noConversion"/>
  <pageMargins left="0.7" right="0.7" top="0.75" bottom="0.75" header="0.3" footer="0.3"/>
  <pageSetup paperSize="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FF5A-78DA-4D72-84B2-714FB37E58DF}">
  <dimension ref="A1:K26"/>
  <sheetViews>
    <sheetView rightToLeft="1" topLeftCell="A13" zoomScaleNormal="100" workbookViewId="0">
      <selection activeCell="B4" sqref="B4"/>
    </sheetView>
  </sheetViews>
  <sheetFormatPr defaultRowHeight="14.25" x14ac:dyDescent="0.2"/>
  <cols>
    <col min="2" max="2" width="8.5" customWidth="1"/>
    <col min="9" max="9" width="23" customWidth="1"/>
  </cols>
  <sheetData>
    <row r="1" spans="1:11" ht="15" thickBot="1" x14ac:dyDescent="0.25">
      <c r="A1" s="152" t="s">
        <v>38</v>
      </c>
      <c r="B1" s="153" t="s">
        <v>123</v>
      </c>
      <c r="J1" s="153"/>
      <c r="K1" s="154" t="s">
        <v>164</v>
      </c>
    </row>
    <row r="2" spans="1:11" ht="15.75" thickTop="1" thickBot="1" x14ac:dyDescent="0.25">
      <c r="A2" s="155" t="s">
        <v>54</v>
      </c>
      <c r="B2" s="156">
        <v>1</v>
      </c>
      <c r="J2" s="156"/>
      <c r="K2" s="157" t="s">
        <v>165</v>
      </c>
    </row>
    <row r="3" spans="1:11" ht="25.5" thickTop="1" thickBot="1" x14ac:dyDescent="0.25">
      <c r="A3" s="155" t="s">
        <v>40</v>
      </c>
      <c r="B3" s="156" t="s">
        <v>222</v>
      </c>
      <c r="J3" s="156"/>
      <c r="K3" s="157" t="s">
        <v>166</v>
      </c>
    </row>
    <row r="4" spans="1:11" ht="15.75" thickTop="1" thickBot="1" x14ac:dyDescent="0.25">
      <c r="A4" s="155" t="s">
        <v>42</v>
      </c>
      <c r="B4" s="177"/>
      <c r="J4" s="156"/>
      <c r="K4" s="157" t="s">
        <v>167</v>
      </c>
    </row>
    <row r="5" spans="1:11" ht="17.25" thickTop="1" thickBot="1" x14ac:dyDescent="0.3">
      <c r="A5" s="158" t="s">
        <v>43</v>
      </c>
      <c r="B5" s="178"/>
      <c r="E5" s="581" t="s">
        <v>223</v>
      </c>
      <c r="F5" s="581"/>
      <c r="G5" s="581"/>
      <c r="J5" s="159"/>
      <c r="K5" s="160" t="s">
        <v>169</v>
      </c>
    </row>
    <row r="6" spans="1:11" ht="27" x14ac:dyDescent="0.2">
      <c r="E6" s="582"/>
      <c r="F6" s="582"/>
      <c r="G6" s="582"/>
    </row>
    <row r="7" spans="1:11" ht="39" customHeight="1" x14ac:dyDescent="0.2">
      <c r="E7" s="661"/>
      <c r="F7" s="661"/>
      <c r="G7" s="661"/>
    </row>
    <row r="8" spans="1:11" ht="15" thickBot="1" x14ac:dyDescent="0.25"/>
    <row r="9" spans="1:11" ht="15" thickBot="1" x14ac:dyDescent="0.25">
      <c r="A9" s="662" t="s">
        <v>224</v>
      </c>
      <c r="B9" s="662"/>
      <c r="C9" s="659"/>
      <c r="D9" s="659"/>
      <c r="E9" s="659"/>
      <c r="F9" s="659"/>
      <c r="G9" s="659"/>
      <c r="H9" s="659"/>
      <c r="I9" s="659"/>
      <c r="J9" s="660" t="s">
        <v>225</v>
      </c>
      <c r="K9" s="660"/>
    </row>
    <row r="10" spans="1:11" ht="28.5" customHeight="1" thickBot="1" x14ac:dyDescent="0.25">
      <c r="A10" s="662"/>
      <c r="B10" s="662"/>
      <c r="C10" s="659"/>
      <c r="D10" s="659"/>
      <c r="E10" s="659"/>
      <c r="F10" s="659"/>
      <c r="G10" s="659"/>
      <c r="H10" s="659"/>
      <c r="I10" s="659"/>
      <c r="J10" s="660"/>
      <c r="K10" s="660"/>
    </row>
    <row r="11" spans="1:11" ht="45.75" customHeight="1" thickBot="1" x14ac:dyDescent="0.25">
      <c r="A11" s="657" t="s">
        <v>226</v>
      </c>
      <c r="B11" s="658"/>
      <c r="C11" s="659"/>
      <c r="D11" s="659"/>
      <c r="E11" s="659"/>
      <c r="F11" s="659"/>
      <c r="G11" s="659"/>
      <c r="H11" s="659"/>
      <c r="I11" s="659"/>
      <c r="J11" s="660" t="s">
        <v>227</v>
      </c>
      <c r="K11" s="660"/>
    </row>
    <row r="12" spans="1:11" ht="36.75" customHeight="1" thickBot="1" x14ac:dyDescent="0.25">
      <c r="A12" s="663" t="s">
        <v>228</v>
      </c>
      <c r="B12" s="664"/>
      <c r="C12" s="665"/>
      <c r="D12" s="665"/>
      <c r="E12" s="665"/>
      <c r="F12" s="665"/>
      <c r="G12" s="665"/>
      <c r="H12" s="665"/>
      <c r="I12" s="665"/>
      <c r="J12" s="660" t="s">
        <v>229</v>
      </c>
      <c r="K12" s="660"/>
    </row>
    <row r="13" spans="1:11" ht="30.75" customHeight="1" thickBot="1" x14ac:dyDescent="0.25">
      <c r="A13" s="663" t="s">
        <v>230</v>
      </c>
      <c r="B13" s="664"/>
      <c r="C13" s="665"/>
      <c r="D13" s="665"/>
      <c r="E13" s="665"/>
      <c r="F13" s="665"/>
      <c r="G13" s="665"/>
      <c r="H13" s="665"/>
      <c r="I13" s="665"/>
      <c r="J13" s="660" t="s">
        <v>231</v>
      </c>
      <c r="K13" s="660"/>
    </row>
    <row r="14" spans="1:11" ht="44.25" customHeight="1" thickBot="1" x14ac:dyDescent="0.25">
      <c r="A14" s="663" t="s">
        <v>232</v>
      </c>
      <c r="B14" s="664"/>
      <c r="C14" s="659"/>
      <c r="D14" s="659"/>
      <c r="E14" s="659"/>
      <c r="F14" s="659"/>
      <c r="G14" s="659"/>
      <c r="H14" s="659"/>
      <c r="I14" s="659"/>
      <c r="J14" s="660" t="s">
        <v>233</v>
      </c>
      <c r="K14" s="660"/>
    </row>
    <row r="15" spans="1:11" ht="15" thickBot="1" x14ac:dyDescent="0.25">
      <c r="A15" s="663" t="s">
        <v>234</v>
      </c>
      <c r="B15" s="664"/>
      <c r="C15" s="659"/>
      <c r="D15" s="659"/>
      <c r="E15" s="659"/>
      <c r="F15" s="659"/>
      <c r="G15" s="659"/>
      <c r="H15" s="659"/>
      <c r="I15" s="659"/>
      <c r="J15" s="660" t="s">
        <v>235</v>
      </c>
      <c r="K15" s="660"/>
    </row>
    <row r="16" spans="1:11" ht="15" thickBot="1" x14ac:dyDescent="0.25">
      <c r="A16" s="663"/>
      <c r="B16" s="664"/>
      <c r="C16" s="659"/>
      <c r="D16" s="659"/>
      <c r="E16" s="659"/>
      <c r="F16" s="659"/>
      <c r="G16" s="659"/>
      <c r="H16" s="659"/>
      <c r="I16" s="659"/>
      <c r="J16" s="660"/>
      <c r="K16" s="660"/>
    </row>
    <row r="17" spans="1:11" ht="36.75" customHeight="1" thickBot="1" x14ac:dyDescent="0.25">
      <c r="A17" s="663"/>
      <c r="B17" s="664"/>
      <c r="C17" s="659"/>
      <c r="D17" s="659"/>
      <c r="E17" s="659"/>
      <c r="F17" s="659"/>
      <c r="G17" s="659"/>
      <c r="H17" s="659"/>
      <c r="I17" s="659"/>
      <c r="J17" s="660"/>
      <c r="K17" s="660"/>
    </row>
    <row r="18" spans="1:11" ht="15" thickBot="1" x14ac:dyDescent="0.25">
      <c r="A18" s="663" t="s">
        <v>236</v>
      </c>
      <c r="B18" s="664"/>
      <c r="C18" s="666"/>
      <c r="D18" s="666"/>
      <c r="E18" s="666"/>
      <c r="F18" s="666"/>
      <c r="G18" s="666"/>
      <c r="H18" s="666"/>
      <c r="I18" s="666"/>
      <c r="J18" s="660" t="s">
        <v>237</v>
      </c>
      <c r="K18" s="660"/>
    </row>
    <row r="19" spans="1:11" ht="36.75" customHeight="1" thickBot="1" x14ac:dyDescent="0.25">
      <c r="A19" s="663"/>
      <c r="B19" s="664"/>
      <c r="C19" s="666"/>
      <c r="D19" s="666"/>
      <c r="E19" s="666"/>
      <c r="F19" s="666"/>
      <c r="G19" s="666"/>
      <c r="H19" s="666"/>
      <c r="I19" s="666"/>
      <c r="J19" s="660"/>
      <c r="K19" s="660"/>
    </row>
    <row r="20" spans="1:11" ht="15" thickBot="1" x14ac:dyDescent="0.25">
      <c r="A20" s="663" t="s">
        <v>238</v>
      </c>
      <c r="B20" s="664"/>
      <c r="C20" s="667"/>
      <c r="D20" s="667"/>
      <c r="E20" s="667"/>
      <c r="F20" s="667"/>
      <c r="G20" s="667"/>
      <c r="H20" s="667"/>
      <c r="I20" s="667"/>
      <c r="J20" s="660" t="s">
        <v>239</v>
      </c>
      <c r="K20" s="660"/>
    </row>
    <row r="21" spans="1:11" ht="15" thickBot="1" x14ac:dyDescent="0.25">
      <c r="A21" s="663"/>
      <c r="B21" s="664"/>
      <c r="C21" s="667"/>
      <c r="D21" s="667"/>
      <c r="E21" s="667"/>
      <c r="F21" s="667"/>
      <c r="G21" s="667"/>
      <c r="H21" s="667"/>
      <c r="I21" s="667"/>
      <c r="J21" s="660"/>
      <c r="K21" s="660"/>
    </row>
    <row r="22" spans="1:11" ht="31.5" customHeight="1" thickBot="1" x14ac:dyDescent="0.25">
      <c r="A22" s="663"/>
      <c r="B22" s="664"/>
      <c r="C22" s="667"/>
      <c r="D22" s="667"/>
      <c r="E22" s="667"/>
      <c r="F22" s="667"/>
      <c r="G22" s="667"/>
      <c r="H22" s="667"/>
      <c r="I22" s="667"/>
      <c r="J22" s="660"/>
      <c r="K22" s="660"/>
    </row>
    <row r="23" spans="1:11" ht="15" thickBot="1" x14ac:dyDescent="0.25">
      <c r="A23" s="663" t="s">
        <v>175</v>
      </c>
      <c r="B23" s="664"/>
      <c r="C23" s="659"/>
      <c r="D23" s="659"/>
      <c r="E23" s="659"/>
      <c r="F23" s="659"/>
      <c r="G23" s="659"/>
      <c r="H23" s="659"/>
      <c r="I23" s="659"/>
      <c r="J23" s="660" t="s">
        <v>240</v>
      </c>
      <c r="K23" s="660"/>
    </row>
    <row r="24" spans="1:11" ht="15" thickBot="1" x14ac:dyDescent="0.25">
      <c r="A24" s="663"/>
      <c r="B24" s="664"/>
      <c r="C24" s="659"/>
      <c r="D24" s="659"/>
      <c r="E24" s="659"/>
      <c r="F24" s="659"/>
      <c r="G24" s="659"/>
      <c r="H24" s="659"/>
      <c r="I24" s="659"/>
      <c r="J24" s="660"/>
      <c r="K24" s="660"/>
    </row>
    <row r="25" spans="1:11" ht="15" thickBot="1" x14ac:dyDescent="0.25">
      <c r="A25" s="663"/>
      <c r="B25" s="664"/>
      <c r="C25" s="659"/>
      <c r="D25" s="659"/>
      <c r="E25" s="659"/>
      <c r="F25" s="659"/>
      <c r="G25" s="659"/>
      <c r="H25" s="659"/>
      <c r="I25" s="659"/>
      <c r="J25" s="660"/>
      <c r="K25" s="660"/>
    </row>
    <row r="26" spans="1:11" ht="44.25" customHeight="1" thickBot="1" x14ac:dyDescent="0.25">
      <c r="A26" s="663" t="s">
        <v>241</v>
      </c>
      <c r="B26" s="664"/>
      <c r="C26" s="668" t="s">
        <v>221</v>
      </c>
      <c r="D26" s="669"/>
      <c r="E26" s="669"/>
      <c r="F26" s="670"/>
      <c r="G26" s="671"/>
      <c r="H26" s="672"/>
      <c r="I26" s="673"/>
      <c r="J26" s="660" t="s">
        <v>242</v>
      </c>
      <c r="K26" s="660"/>
    </row>
  </sheetData>
  <mergeCells count="34">
    <mergeCell ref="A23:B25"/>
    <mergeCell ref="C23:I25"/>
    <mergeCell ref="J23:K25"/>
    <mergeCell ref="A26:B26"/>
    <mergeCell ref="C26:F26"/>
    <mergeCell ref="G26:I26"/>
    <mergeCell ref="J26:K26"/>
    <mergeCell ref="A18:B19"/>
    <mergeCell ref="C18:I19"/>
    <mergeCell ref="J18:K19"/>
    <mergeCell ref="A20:B22"/>
    <mergeCell ref="C20:I22"/>
    <mergeCell ref="J20:K22"/>
    <mergeCell ref="A14:B14"/>
    <mergeCell ref="C14:I14"/>
    <mergeCell ref="J14:K14"/>
    <mergeCell ref="A15:B17"/>
    <mergeCell ref="C15:I17"/>
    <mergeCell ref="J15:K17"/>
    <mergeCell ref="A12:B12"/>
    <mergeCell ref="C12:I12"/>
    <mergeCell ref="J12:K12"/>
    <mergeCell ref="A13:B13"/>
    <mergeCell ref="C13:I13"/>
    <mergeCell ref="J13:K13"/>
    <mergeCell ref="A11:B11"/>
    <mergeCell ref="C11:I11"/>
    <mergeCell ref="J11:K11"/>
    <mergeCell ref="E7:G7"/>
    <mergeCell ref="E5:G5"/>
    <mergeCell ref="E6:G6"/>
    <mergeCell ref="A9:B10"/>
    <mergeCell ref="C9:I10"/>
    <mergeCell ref="J9:K10"/>
  </mergeCells>
  <pageMargins left="0.7" right="0.7" top="0.75" bottom="0.75" header="0.3" footer="0.3"/>
  <pageSetup paperSize="9" scale="7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142F-7647-4744-93CB-D6C26A6C2B55}">
  <dimension ref="A1:I45"/>
  <sheetViews>
    <sheetView rightToLeft="1" workbookViewId="0">
      <selection activeCell="B45" sqref="B45:C45"/>
    </sheetView>
  </sheetViews>
  <sheetFormatPr defaultRowHeight="14.25" x14ac:dyDescent="0.2"/>
  <cols>
    <col min="2" max="2" width="12" customWidth="1"/>
    <col min="4" max="4" width="11.125" customWidth="1"/>
    <col min="6" max="6" width="11.375" customWidth="1"/>
  </cols>
  <sheetData>
    <row r="1" spans="1:9" ht="15.75" x14ac:dyDescent="0.2">
      <c r="A1" s="674" t="s">
        <v>68</v>
      </c>
      <c r="B1" s="674"/>
      <c r="C1" s="674"/>
      <c r="D1" s="674"/>
      <c r="E1" s="674"/>
      <c r="F1" s="674"/>
      <c r="G1" s="136"/>
      <c r="H1" s="136"/>
      <c r="I1" s="136"/>
    </row>
    <row r="2" spans="1:9" ht="15.75" x14ac:dyDescent="0.2">
      <c r="A2" s="169"/>
      <c r="B2" s="674" t="s">
        <v>11</v>
      </c>
      <c r="C2" s="674"/>
      <c r="D2" s="674"/>
      <c r="E2" s="80"/>
      <c r="F2" s="169"/>
      <c r="G2" s="136"/>
      <c r="H2" s="136"/>
      <c r="I2" s="136"/>
    </row>
    <row r="3" spans="1:9" ht="15.75" x14ac:dyDescent="0.2">
      <c r="A3" s="169"/>
      <c r="B3" s="674" t="s">
        <v>12</v>
      </c>
      <c r="C3" s="674"/>
      <c r="D3" s="674"/>
      <c r="E3" s="80"/>
      <c r="F3" s="169"/>
      <c r="G3" s="136"/>
      <c r="H3" s="136"/>
      <c r="I3" s="136"/>
    </row>
    <row r="4" spans="1:9" x14ac:dyDescent="0.2">
      <c r="A4" s="136"/>
      <c r="B4" s="136"/>
      <c r="C4" s="136"/>
      <c r="D4" s="136"/>
      <c r="E4" s="337" t="s">
        <v>196</v>
      </c>
      <c r="F4" s="337"/>
      <c r="G4" s="337"/>
      <c r="H4" s="136"/>
      <c r="I4" s="136"/>
    </row>
    <row r="5" spans="1:9" x14ac:dyDescent="0.2">
      <c r="A5" s="136"/>
      <c r="B5" s="136"/>
      <c r="C5" s="136" t="s">
        <v>368</v>
      </c>
      <c r="D5" s="136"/>
      <c r="E5" s="337"/>
      <c r="F5" s="337"/>
      <c r="G5" s="337"/>
      <c r="H5" s="136"/>
      <c r="I5" s="136"/>
    </row>
    <row r="6" spans="1:9" x14ac:dyDescent="0.2">
      <c r="A6" s="136"/>
      <c r="B6" s="136"/>
      <c r="C6" s="136"/>
      <c r="D6" s="136"/>
      <c r="E6" s="136"/>
      <c r="F6" s="136"/>
      <c r="G6" s="136"/>
      <c r="H6" s="136"/>
      <c r="I6" s="136"/>
    </row>
    <row r="7" spans="1:9" x14ac:dyDescent="0.2">
      <c r="A7" s="136"/>
      <c r="B7" s="136"/>
      <c r="C7" s="136"/>
      <c r="D7" s="136"/>
      <c r="E7" s="136"/>
      <c r="F7" s="136"/>
      <c r="G7" s="136"/>
      <c r="H7" s="136"/>
      <c r="I7" s="136"/>
    </row>
    <row r="8" spans="1:9" ht="15.75" x14ac:dyDescent="0.2">
      <c r="A8" s="136"/>
      <c r="B8" s="170" t="s">
        <v>197</v>
      </c>
      <c r="C8" s="122"/>
      <c r="D8" s="171" t="s">
        <v>197</v>
      </c>
      <c r="E8" s="122"/>
      <c r="F8" s="172" t="s">
        <v>197</v>
      </c>
      <c r="G8" s="136"/>
      <c r="H8" s="499" t="s">
        <v>198</v>
      </c>
      <c r="I8" s="499"/>
    </row>
    <row r="9" spans="1:9" ht="15" x14ac:dyDescent="0.2">
      <c r="A9" s="136"/>
      <c r="B9" s="49"/>
      <c r="C9" s="49"/>
      <c r="D9" s="49"/>
      <c r="E9" s="49"/>
      <c r="F9" s="49"/>
      <c r="G9" s="136"/>
      <c r="H9" s="49" t="s">
        <v>199</v>
      </c>
      <c r="I9" s="49" t="s">
        <v>200</v>
      </c>
    </row>
    <row r="10" spans="1:9" ht="15" x14ac:dyDescent="0.2">
      <c r="A10" s="136"/>
      <c r="B10" s="49"/>
      <c r="C10" s="49"/>
      <c r="D10" s="49"/>
      <c r="E10" s="49"/>
      <c r="F10" s="49"/>
      <c r="G10" s="136"/>
      <c r="H10" s="136"/>
      <c r="I10" s="136"/>
    </row>
    <row r="11" spans="1:9" x14ac:dyDescent="0.2">
      <c r="A11" s="136"/>
      <c r="B11" s="136"/>
      <c r="C11" s="136"/>
      <c r="D11" s="136"/>
      <c r="E11" s="136"/>
      <c r="F11" s="136"/>
      <c r="G11" s="136"/>
      <c r="H11" s="136"/>
      <c r="I11" s="136"/>
    </row>
    <row r="12" spans="1:9" ht="15.75" x14ac:dyDescent="0.2">
      <c r="A12" s="136"/>
      <c r="B12" s="170" t="s">
        <v>201</v>
      </c>
      <c r="C12" s="136"/>
      <c r="D12" s="171" t="s">
        <v>201</v>
      </c>
      <c r="E12" s="136"/>
      <c r="F12" s="172" t="s">
        <v>201</v>
      </c>
      <c r="G12" s="136"/>
      <c r="H12" s="339"/>
      <c r="I12" s="339"/>
    </row>
    <row r="13" spans="1:9" x14ac:dyDescent="0.2">
      <c r="A13" s="136"/>
      <c r="B13" s="136"/>
      <c r="C13" s="136"/>
      <c r="D13" s="136"/>
      <c r="E13" s="136"/>
      <c r="F13" s="136"/>
      <c r="G13" s="136"/>
      <c r="H13" s="136"/>
      <c r="I13" s="136"/>
    </row>
    <row r="14" spans="1:9" ht="15" x14ac:dyDescent="0.2">
      <c r="A14" s="136"/>
      <c r="B14" s="136"/>
      <c r="C14" s="136"/>
      <c r="D14" s="136"/>
      <c r="E14" s="136"/>
      <c r="F14" s="136"/>
      <c r="G14" s="136"/>
      <c r="H14" s="339" t="s">
        <v>202</v>
      </c>
      <c r="I14" s="339"/>
    </row>
    <row r="15" spans="1:9" ht="15" x14ac:dyDescent="0.2">
      <c r="A15" s="136"/>
      <c r="B15" s="49"/>
      <c r="C15" s="49"/>
      <c r="D15" s="49"/>
      <c r="E15" s="49"/>
      <c r="F15" s="49"/>
      <c r="G15" s="49"/>
      <c r="H15" s="49"/>
      <c r="I15" s="49"/>
    </row>
    <row r="16" spans="1:9" ht="15.75" x14ac:dyDescent="0.2">
      <c r="A16" s="136"/>
      <c r="B16" s="170" t="s">
        <v>203</v>
      </c>
      <c r="C16" s="136"/>
      <c r="D16" s="171" t="s">
        <v>203</v>
      </c>
      <c r="E16" s="136"/>
      <c r="F16" s="172" t="s">
        <v>203</v>
      </c>
      <c r="G16" s="136"/>
      <c r="H16" s="499"/>
      <c r="I16" s="499"/>
    </row>
    <row r="17" spans="1:9" ht="15" x14ac:dyDescent="0.2">
      <c r="A17" s="136"/>
      <c r="B17" s="136"/>
      <c r="C17" s="136"/>
      <c r="D17" s="136"/>
      <c r="E17" s="136"/>
      <c r="F17" s="136"/>
      <c r="G17" s="136"/>
      <c r="H17" s="49"/>
      <c r="I17" s="49"/>
    </row>
    <row r="18" spans="1:9" ht="15.75" x14ac:dyDescent="0.2">
      <c r="A18" s="136"/>
      <c r="B18" s="49"/>
      <c r="C18" s="49"/>
      <c r="D18" s="49"/>
      <c r="E18" s="49"/>
      <c r="F18" s="49"/>
      <c r="G18" s="49"/>
      <c r="H18" s="499" t="s">
        <v>204</v>
      </c>
      <c r="I18" s="499"/>
    </row>
    <row r="19" spans="1:9" ht="15" x14ac:dyDescent="0.2">
      <c r="A19" s="136"/>
      <c r="B19" s="49"/>
      <c r="C19" s="49"/>
      <c r="D19" s="49"/>
      <c r="E19" s="136"/>
      <c r="F19" s="49"/>
      <c r="G19" s="49"/>
      <c r="H19" s="49" t="s">
        <v>205</v>
      </c>
      <c r="I19" s="49" t="s">
        <v>206</v>
      </c>
    </row>
    <row r="20" spans="1:9" ht="15.75" x14ac:dyDescent="0.2">
      <c r="A20" s="49"/>
      <c r="B20" s="170" t="s">
        <v>207</v>
      </c>
      <c r="C20" s="167"/>
      <c r="D20" s="171" t="s">
        <v>207</v>
      </c>
      <c r="E20" s="122"/>
      <c r="F20" s="172" t="s">
        <v>151</v>
      </c>
      <c r="G20" s="136"/>
      <c r="H20" s="136"/>
      <c r="I20" s="136"/>
    </row>
    <row r="21" spans="1:9" ht="15.75" x14ac:dyDescent="0.2">
      <c r="A21" s="49"/>
      <c r="B21" s="136"/>
      <c r="C21" s="136"/>
      <c r="D21" s="136"/>
      <c r="E21" s="136"/>
      <c r="F21" s="136"/>
      <c r="G21" s="136"/>
      <c r="H21" s="499" t="s">
        <v>208</v>
      </c>
      <c r="I21" s="499"/>
    </row>
    <row r="22" spans="1:9" ht="15" x14ac:dyDescent="0.2">
      <c r="A22" s="49"/>
      <c r="B22" s="136"/>
      <c r="C22" s="136"/>
      <c r="D22" s="136"/>
      <c r="E22" s="49"/>
      <c r="F22" s="136"/>
      <c r="G22" s="136"/>
      <c r="H22" s="456"/>
      <c r="I22" s="456"/>
    </row>
    <row r="23" spans="1:9" ht="15.75" x14ac:dyDescent="0.2">
      <c r="A23" s="136"/>
      <c r="B23" s="136"/>
      <c r="C23" s="136"/>
      <c r="D23" s="136"/>
      <c r="E23" s="136"/>
      <c r="F23" s="136"/>
      <c r="G23" s="136"/>
      <c r="H23" s="499" t="s">
        <v>209</v>
      </c>
      <c r="I23" s="499"/>
    </row>
    <row r="24" spans="1:9" ht="15.75" x14ac:dyDescent="0.2">
      <c r="A24" s="49"/>
      <c r="B24" s="170" t="s">
        <v>210</v>
      </c>
      <c r="C24" s="136"/>
      <c r="D24" s="171" t="s">
        <v>210</v>
      </c>
      <c r="E24" s="136"/>
      <c r="F24" s="172" t="s">
        <v>210</v>
      </c>
      <c r="H24" s="456"/>
      <c r="I24" s="456"/>
    </row>
    <row r="25" spans="1:9" ht="15.75" x14ac:dyDescent="0.2">
      <c r="A25" s="136"/>
      <c r="B25" s="136"/>
      <c r="C25" s="136"/>
      <c r="D25" s="136"/>
      <c r="E25" s="136"/>
      <c r="F25" s="136"/>
      <c r="G25" s="136"/>
      <c r="H25" s="499" t="s">
        <v>211</v>
      </c>
      <c r="I25" s="499"/>
    </row>
    <row r="26" spans="1:9" ht="15" x14ac:dyDescent="0.2">
      <c r="A26" s="136"/>
      <c r="B26" s="49"/>
      <c r="C26" s="136"/>
      <c r="D26" s="136"/>
      <c r="E26" s="136"/>
      <c r="F26" s="136"/>
      <c r="G26" s="136"/>
      <c r="H26" s="676"/>
      <c r="I26" s="676"/>
    </row>
    <row r="27" spans="1:9" ht="15.75" x14ac:dyDescent="0.2">
      <c r="A27" s="136"/>
      <c r="B27" s="170" t="s">
        <v>212</v>
      </c>
      <c r="C27" s="136"/>
      <c r="D27" s="171" t="s">
        <v>212</v>
      </c>
      <c r="E27" s="136"/>
      <c r="F27" s="172" t="s">
        <v>212</v>
      </c>
      <c r="G27" s="136"/>
      <c r="H27" s="499" t="s">
        <v>213</v>
      </c>
      <c r="I27" s="499"/>
    </row>
    <row r="28" spans="1:9" ht="15" x14ac:dyDescent="0.2">
      <c r="A28" s="136"/>
      <c r="B28" s="136"/>
      <c r="C28" s="136"/>
      <c r="D28" s="136"/>
      <c r="E28" s="136"/>
      <c r="F28" s="136"/>
      <c r="G28" s="136"/>
      <c r="H28" s="677"/>
      <c r="I28" s="677"/>
    </row>
    <row r="29" spans="1:9" ht="15" x14ac:dyDescent="0.2">
      <c r="A29" s="136"/>
      <c r="B29" s="136"/>
      <c r="C29" s="136"/>
      <c r="D29" s="136"/>
      <c r="E29" s="136"/>
      <c r="F29" s="136"/>
      <c r="G29" s="136"/>
      <c r="H29" s="339" t="s">
        <v>207</v>
      </c>
      <c r="I29" s="339"/>
    </row>
    <row r="30" spans="1:9" ht="15.75" x14ac:dyDescent="0.2">
      <c r="A30" s="136"/>
      <c r="B30" s="170" t="s">
        <v>214</v>
      </c>
      <c r="C30" s="136"/>
      <c r="D30" s="171" t="s">
        <v>214</v>
      </c>
      <c r="E30" s="136"/>
      <c r="F30" s="172" t="s">
        <v>214</v>
      </c>
      <c r="G30" s="136"/>
      <c r="H30" s="676"/>
      <c r="I30" s="676"/>
    </row>
    <row r="31" spans="1:9" ht="15.75" x14ac:dyDescent="0.2">
      <c r="A31" s="136"/>
      <c r="B31" s="136"/>
      <c r="C31" s="136"/>
      <c r="D31" s="136"/>
      <c r="E31" s="136"/>
      <c r="F31" s="136"/>
      <c r="G31" s="136"/>
      <c r="H31" s="499" t="s">
        <v>215</v>
      </c>
      <c r="I31" s="499"/>
    </row>
    <row r="32" spans="1:9" ht="15.75" x14ac:dyDescent="0.2">
      <c r="A32" s="136"/>
      <c r="B32" s="136"/>
      <c r="C32" s="136"/>
      <c r="D32" s="136"/>
      <c r="E32" s="136"/>
      <c r="F32" s="136"/>
      <c r="G32" s="136"/>
      <c r="H32" s="167" t="s">
        <v>216</v>
      </c>
      <c r="I32" s="167" t="s">
        <v>217</v>
      </c>
    </row>
    <row r="33" spans="1:9" ht="15.75" x14ac:dyDescent="0.2">
      <c r="A33" s="136"/>
      <c r="B33" s="173" t="s">
        <v>218</v>
      </c>
      <c r="C33" s="136"/>
      <c r="D33" s="174" t="s">
        <v>218</v>
      </c>
      <c r="E33" s="136"/>
      <c r="F33" s="175" t="s">
        <v>218</v>
      </c>
      <c r="G33" s="136"/>
      <c r="H33" s="167"/>
      <c r="I33" s="167"/>
    </row>
    <row r="34" spans="1:9" x14ac:dyDescent="0.2">
      <c r="A34" s="136"/>
      <c r="B34" s="136"/>
      <c r="C34" s="136"/>
      <c r="D34" s="136"/>
      <c r="E34" s="136"/>
      <c r="F34" s="136"/>
      <c r="G34" s="136"/>
      <c r="H34" s="136"/>
      <c r="I34" s="136"/>
    </row>
    <row r="35" spans="1:9" ht="15" x14ac:dyDescent="0.2">
      <c r="A35" s="136"/>
      <c r="B35" s="49"/>
      <c r="C35" s="136"/>
      <c r="D35" s="136"/>
      <c r="E35" s="136"/>
      <c r="F35" s="136"/>
      <c r="G35" s="136"/>
      <c r="H35" s="136"/>
      <c r="I35" s="136"/>
    </row>
    <row r="36" spans="1:9" x14ac:dyDescent="0.2">
      <c r="A36" s="136"/>
      <c r="B36" s="136"/>
      <c r="C36" s="136"/>
      <c r="D36" s="136"/>
      <c r="E36" s="136"/>
      <c r="F36" s="136"/>
      <c r="G36" s="136"/>
      <c r="H36" s="136"/>
      <c r="I36" s="136"/>
    </row>
    <row r="37" spans="1:9" x14ac:dyDescent="0.2">
      <c r="A37" s="136"/>
      <c r="B37" s="136"/>
      <c r="C37" s="136"/>
      <c r="D37" s="136"/>
      <c r="E37" s="136"/>
      <c r="F37" s="136"/>
      <c r="G37" s="136"/>
      <c r="H37" s="136"/>
      <c r="I37" s="136"/>
    </row>
    <row r="38" spans="1:9" ht="15.75" x14ac:dyDescent="0.2">
      <c r="A38" s="136"/>
      <c r="B38" s="136"/>
      <c r="C38" s="49"/>
      <c r="D38" s="167" t="s">
        <v>219</v>
      </c>
      <c r="E38" s="678"/>
      <c r="F38" s="679"/>
      <c r="G38" s="136"/>
      <c r="H38" s="136"/>
      <c r="I38" s="136"/>
    </row>
    <row r="39" spans="1:9" x14ac:dyDescent="0.2">
      <c r="A39" s="136"/>
      <c r="B39" s="136"/>
      <c r="C39" s="136"/>
      <c r="D39" s="136"/>
      <c r="E39" s="680"/>
      <c r="F39" s="681"/>
      <c r="G39" s="136"/>
      <c r="H39" s="136"/>
      <c r="I39" s="136"/>
    </row>
    <row r="40" spans="1:9" x14ac:dyDescent="0.2">
      <c r="A40" s="136"/>
      <c r="B40" s="136"/>
      <c r="C40" s="136"/>
      <c r="D40" s="136"/>
      <c r="E40" s="136"/>
      <c r="F40" s="136"/>
      <c r="G40" s="136"/>
      <c r="H40" s="136"/>
      <c r="I40" s="136"/>
    </row>
    <row r="42" spans="1:9" ht="15.75" x14ac:dyDescent="0.25">
      <c r="B42" s="513" t="s">
        <v>36</v>
      </c>
      <c r="C42" s="513"/>
      <c r="F42" s="168" t="s">
        <v>220</v>
      </c>
    </row>
    <row r="43" spans="1:9" ht="15" x14ac:dyDescent="0.2">
      <c r="B43" s="675"/>
      <c r="C43" s="675"/>
    </row>
    <row r="45" spans="1:9" ht="15" x14ac:dyDescent="0.2">
      <c r="B45" s="675"/>
      <c r="C45" s="675"/>
      <c r="F45" s="176"/>
    </row>
  </sheetData>
  <mergeCells count="24">
    <mergeCell ref="B45:C45"/>
    <mergeCell ref="H24:I24"/>
    <mergeCell ref="H25:I25"/>
    <mergeCell ref="H26:I26"/>
    <mergeCell ref="H27:I27"/>
    <mergeCell ref="H28:I28"/>
    <mergeCell ref="H29:I29"/>
    <mergeCell ref="H30:I30"/>
    <mergeCell ref="H31:I31"/>
    <mergeCell ref="E38:F39"/>
    <mergeCell ref="B42:C42"/>
    <mergeCell ref="B43:C43"/>
    <mergeCell ref="H23:I23"/>
    <mergeCell ref="A1:F1"/>
    <mergeCell ref="B2:D2"/>
    <mergeCell ref="B3:D3"/>
    <mergeCell ref="E4:G5"/>
    <mergeCell ref="H8:I8"/>
    <mergeCell ref="H12:I12"/>
    <mergeCell ref="H14:I14"/>
    <mergeCell ref="H16:I16"/>
    <mergeCell ref="H18:I18"/>
    <mergeCell ref="H21:I21"/>
    <mergeCell ref="H22:I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25</vt:i4>
      </vt:variant>
      <vt:variant>
        <vt:lpstr>النطاقات المسماة</vt:lpstr>
      </vt:variant>
      <vt:variant>
        <vt:i4>10</vt:i4>
      </vt:variant>
    </vt:vector>
  </HeadingPairs>
  <TitlesOfParts>
    <vt:vector size="35" baseType="lpstr">
      <vt:lpstr>مبيعات</vt:lpstr>
      <vt:lpstr>ورقة4</vt:lpstr>
      <vt:lpstr>مخزون </vt:lpstr>
      <vt:lpstr>مخزون</vt:lpstr>
      <vt:lpstr>مخزون ديزل</vt:lpstr>
      <vt:lpstr>توريد91</vt:lpstr>
      <vt:lpstr>توريد95</vt:lpstr>
      <vt:lpstr>توريد DE</vt:lpstr>
      <vt:lpstr>تصفير91</vt:lpstr>
      <vt:lpstr>تصفير95</vt:lpstr>
      <vt:lpstr>تصفيرDE</vt:lpstr>
      <vt:lpstr>عهده</vt:lpstr>
      <vt:lpstr>تصقية</vt:lpstr>
      <vt:lpstr>مفقودات</vt:lpstr>
      <vt:lpstr>المعايرة</vt:lpstr>
      <vt:lpstr>تقييم</vt:lpstr>
      <vt:lpstr>العمال</vt:lpstr>
      <vt:lpstr>الصيانة</vt:lpstr>
      <vt:lpstr>النظافة </vt:lpstr>
      <vt:lpstr>جدول دوام</vt:lpstr>
      <vt:lpstr>معاينة</vt:lpstr>
      <vt:lpstr>مضخة</vt:lpstr>
      <vt:lpstr>الحاويات</vt:lpstr>
      <vt:lpstr>حوادث</vt:lpstr>
      <vt:lpstr>تقرير شهري</vt:lpstr>
      <vt:lpstr>الصيانة!Print_Area</vt:lpstr>
      <vt:lpstr>العمال!Print_Area</vt:lpstr>
      <vt:lpstr>المعايرة!Print_Area</vt:lpstr>
      <vt:lpstr>'النظافة '!Print_Area</vt:lpstr>
      <vt:lpstr>تصفير91!Print_Area</vt:lpstr>
      <vt:lpstr>تصفير95!Print_Area</vt:lpstr>
      <vt:lpstr>تصفيرDE!Print_Area</vt:lpstr>
      <vt:lpstr>تصقية!Print_Area</vt:lpstr>
      <vt:lpstr>مضخة!Print_Area</vt:lpstr>
      <vt:lpstr>مفقودات!Print_Area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cp:lastPrinted>2023-04-30T05:44:47Z</cp:lastPrinted>
  <dcterms:created xsi:type="dcterms:W3CDTF">2022-03-28T11:53:33Z</dcterms:created>
  <dcterms:modified xsi:type="dcterms:W3CDTF">2023-05-24T05:57:01Z</dcterms:modified>
</cp:coreProperties>
</file>